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Buku_Kerja_Ini"/>
  <bookViews>
    <workbookView xWindow="-105" yWindow="-105" windowWidth="19425" windowHeight="10305" firstSheet="1" activeTab="7"/>
  </bookViews>
  <sheets>
    <sheet name="IDENTITAS" sheetId="1" r:id="rId1"/>
    <sheet name="COVER" sheetId="2" r:id="rId2"/>
    <sheet name="BIODATA" sheetId="3" r:id="rId3"/>
    <sheet name="NILAI" sheetId="4" r:id="rId4"/>
    <sheet name="PRIBADI, ABSEN, CATATAN" sheetId="5" r:id="rId5"/>
    <sheet name="RAPORT GANJIL" sheetId="6" r:id="rId6"/>
    <sheet name="RAPORT GENAP" sheetId="7" r:id="rId7"/>
    <sheet name="MUTASI" sheetId="8" r:id="rId8"/>
    <sheet name="PETUNJUK" sheetId="9" r:id="rId9"/>
    <sheet name="DAFTAR SHEET" sheetId="10" r:id="rId10"/>
  </sheets>
  <functionGroups builtInGroupCount="17"/>
  <definedNames>
    <definedName name="Data">IDENTITAS!$A$21:$U$120</definedName>
    <definedName name="Index_Sheet_Kutools">'DAFTAR SHEET'!$A$1</definedName>
    <definedName name="Kepribadian">'PRIBADI, ABSEN, CATATAN'!$A$4:$K$103</definedName>
    <definedName name="Nilai">NILAI!$A$5:$U$104</definedName>
    <definedName name="_xlnm.Print_Area" localSheetId="2">BIODATA!$A$1:$I$48</definedName>
    <definedName name="_xlnm.Print_Area" localSheetId="1">COVER!$A$1:$E$40</definedName>
    <definedName name="_xlnm.Print_Area" localSheetId="5">'RAPORT GANJIL'!$A$1:$H$51</definedName>
    <definedName name="_xlnm.Print_Area" localSheetId="6">'RAPORT GENAP'!$A$1:$H$51</definedName>
    <definedName name="Puluhan">'RAPORT GENAP'!$L$12:$M$24</definedName>
    <definedName name="Satuan">'RAPORT GENAP'!$N$12:$O$24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" roundtripDataChecksum="fQaGHR1B4v7c6CvQ0qq2UjB73Yr0ogOHhadbWEQz6aE="/>
    </ext>
  </extLst>
</workbook>
</file>

<file path=xl/calcChain.xml><?xml version="1.0" encoding="utf-8"?>
<calcChain xmlns="http://schemas.openxmlformats.org/spreadsheetml/2006/main">
  <c r="E59" i="8" l="1"/>
  <c r="E13" i="8"/>
  <c r="G50" i="7"/>
  <c r="C50" i="7"/>
  <c r="D39" i="7"/>
  <c r="D38" i="7"/>
  <c r="C24" i="7"/>
  <c r="C23" i="7"/>
  <c r="C22" i="7"/>
  <c r="C20" i="7"/>
  <c r="C19" i="7"/>
  <c r="C18" i="7"/>
  <c r="C17" i="7"/>
  <c r="C16" i="7"/>
  <c r="C15" i="7"/>
  <c r="C14" i="7"/>
  <c r="C13" i="7"/>
  <c r="C12" i="7"/>
  <c r="C11" i="7"/>
  <c r="H6" i="7"/>
  <c r="H5" i="7"/>
  <c r="D4" i="7"/>
  <c r="H3" i="7"/>
  <c r="D3" i="7"/>
  <c r="G46" i="6"/>
  <c r="C46" i="6"/>
  <c r="D39" i="6"/>
  <c r="D38" i="6"/>
  <c r="C24" i="6"/>
  <c r="C23" i="6"/>
  <c r="C22" i="6"/>
  <c r="C20" i="6"/>
  <c r="C19" i="6"/>
  <c r="C18" i="6"/>
  <c r="C17" i="6"/>
  <c r="C16" i="6"/>
  <c r="C15" i="6"/>
  <c r="C14" i="6"/>
  <c r="C13" i="6"/>
  <c r="C12" i="6"/>
  <c r="C11" i="6"/>
  <c r="H6" i="6"/>
  <c r="H5" i="6"/>
  <c r="D4" i="6"/>
  <c r="H3" i="6"/>
  <c r="D3" i="6"/>
  <c r="C103" i="5"/>
  <c r="B103" i="5"/>
  <c r="C102" i="5"/>
  <c r="B102" i="5"/>
  <c r="C101" i="5"/>
  <c r="B101" i="5"/>
  <c r="C100" i="5"/>
  <c r="B100" i="5"/>
  <c r="C99" i="5"/>
  <c r="B99" i="5"/>
  <c r="C98" i="5"/>
  <c r="B98" i="5"/>
  <c r="C97" i="5"/>
  <c r="B97" i="5"/>
  <c r="C96" i="5"/>
  <c r="B96" i="5"/>
  <c r="C95" i="5"/>
  <c r="B95" i="5"/>
  <c r="C94" i="5"/>
  <c r="B94" i="5"/>
  <c r="C93" i="5"/>
  <c r="B93" i="5"/>
  <c r="C92" i="5"/>
  <c r="B92" i="5"/>
  <c r="C91" i="5"/>
  <c r="B91" i="5"/>
  <c r="C90" i="5"/>
  <c r="B90" i="5"/>
  <c r="C89" i="5"/>
  <c r="B89" i="5"/>
  <c r="C88" i="5"/>
  <c r="B88" i="5"/>
  <c r="C87" i="5"/>
  <c r="B87" i="5"/>
  <c r="C86" i="5"/>
  <c r="B86" i="5"/>
  <c r="C85" i="5"/>
  <c r="B85" i="5"/>
  <c r="C84" i="5"/>
  <c r="B84" i="5"/>
  <c r="C83" i="5"/>
  <c r="B83" i="5"/>
  <c r="C82" i="5"/>
  <c r="B82" i="5"/>
  <c r="C81" i="5"/>
  <c r="B81" i="5"/>
  <c r="C80" i="5"/>
  <c r="B80" i="5"/>
  <c r="C79" i="5"/>
  <c r="B79" i="5"/>
  <c r="C78" i="5"/>
  <c r="B78" i="5"/>
  <c r="C77" i="5"/>
  <c r="B77" i="5"/>
  <c r="C76" i="5"/>
  <c r="B76" i="5"/>
  <c r="C75" i="5"/>
  <c r="B75" i="5"/>
  <c r="C74" i="5"/>
  <c r="B74" i="5"/>
  <c r="C73" i="5"/>
  <c r="B73" i="5"/>
  <c r="C72" i="5"/>
  <c r="B72" i="5"/>
  <c r="C71" i="5"/>
  <c r="B71" i="5"/>
  <c r="C70" i="5"/>
  <c r="B70" i="5"/>
  <c r="C69" i="5"/>
  <c r="B69" i="5"/>
  <c r="C68" i="5"/>
  <c r="B68" i="5"/>
  <c r="C67" i="5"/>
  <c r="B67" i="5"/>
  <c r="C66" i="5"/>
  <c r="B66" i="5"/>
  <c r="C65" i="5"/>
  <c r="B65" i="5"/>
  <c r="C64" i="5"/>
  <c r="B64" i="5"/>
  <c r="C63" i="5"/>
  <c r="B63" i="5"/>
  <c r="C62" i="5"/>
  <c r="B62" i="5"/>
  <c r="C61" i="5"/>
  <c r="B61" i="5"/>
  <c r="C60" i="5"/>
  <c r="B60" i="5"/>
  <c r="C59" i="5"/>
  <c r="B59" i="5"/>
  <c r="C58" i="5"/>
  <c r="B58" i="5"/>
  <c r="C57" i="5"/>
  <c r="B57" i="5"/>
  <c r="C56" i="5"/>
  <c r="B56" i="5"/>
  <c r="C55" i="5"/>
  <c r="B55" i="5"/>
  <c r="C54" i="5"/>
  <c r="B54" i="5"/>
  <c r="C53" i="5"/>
  <c r="B53" i="5"/>
  <c r="C52" i="5"/>
  <c r="B52" i="5"/>
  <c r="C51" i="5"/>
  <c r="B51" i="5"/>
  <c r="C50" i="5"/>
  <c r="B50" i="5"/>
  <c r="C49" i="5"/>
  <c r="B49" i="5"/>
  <c r="C48" i="5"/>
  <c r="B48" i="5"/>
  <c r="C47" i="5"/>
  <c r="B47" i="5"/>
  <c r="C46" i="5"/>
  <c r="B46" i="5"/>
  <c r="C45" i="5"/>
  <c r="B45" i="5"/>
  <c r="C44" i="5"/>
  <c r="B44" i="5"/>
  <c r="C43" i="5"/>
  <c r="B43" i="5"/>
  <c r="C42" i="5"/>
  <c r="B42" i="5"/>
  <c r="C41" i="5"/>
  <c r="B41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9" i="5"/>
  <c r="B9" i="5"/>
  <c r="C8" i="5"/>
  <c r="B8" i="5"/>
  <c r="C7" i="5"/>
  <c r="B7" i="5"/>
  <c r="C6" i="5"/>
  <c r="B6" i="5"/>
  <c r="C5" i="5"/>
  <c r="B5" i="5"/>
  <c r="C4" i="5"/>
  <c r="B4" i="5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R104" i="4"/>
  <c r="Q104" i="4"/>
  <c r="S104" i="4" s="1"/>
  <c r="J103" i="5" s="1"/>
  <c r="C104" i="4"/>
  <c r="B104" i="4"/>
  <c r="A104" i="4"/>
  <c r="S103" i="4"/>
  <c r="J102" i="5" s="1"/>
  <c r="R103" i="4"/>
  <c r="Q103" i="4"/>
  <c r="C103" i="4"/>
  <c r="B103" i="4"/>
  <c r="R102" i="4"/>
  <c r="Q102" i="4"/>
  <c r="S102" i="4" s="1"/>
  <c r="J101" i="5" s="1"/>
  <c r="C102" i="4"/>
  <c r="B102" i="4"/>
  <c r="S101" i="4"/>
  <c r="J100" i="5" s="1"/>
  <c r="R101" i="4"/>
  <c r="Q101" i="4"/>
  <c r="C101" i="4"/>
  <c r="B101" i="4"/>
  <c r="R100" i="4"/>
  <c r="Q100" i="4"/>
  <c r="S100" i="4" s="1"/>
  <c r="J99" i="5" s="1"/>
  <c r="C100" i="4"/>
  <c r="B100" i="4"/>
  <c r="A100" i="4"/>
  <c r="S99" i="4"/>
  <c r="J98" i="5" s="1"/>
  <c r="R99" i="4"/>
  <c r="Q99" i="4"/>
  <c r="C99" i="4"/>
  <c r="B99" i="4"/>
  <c r="R98" i="4"/>
  <c r="Q98" i="4"/>
  <c r="S98" i="4" s="1"/>
  <c r="J97" i="5" s="1"/>
  <c r="C98" i="4"/>
  <c r="B98" i="4"/>
  <c r="S97" i="4"/>
  <c r="J96" i="5" s="1"/>
  <c r="R97" i="4"/>
  <c r="Q97" i="4"/>
  <c r="C97" i="4"/>
  <c r="B97" i="4"/>
  <c r="R96" i="4"/>
  <c r="Q96" i="4"/>
  <c r="S96" i="4" s="1"/>
  <c r="J95" i="5" s="1"/>
  <c r="C96" i="4"/>
  <c r="B96" i="4"/>
  <c r="A96" i="4"/>
  <c r="S95" i="4"/>
  <c r="J94" i="5" s="1"/>
  <c r="R95" i="4"/>
  <c r="Q95" i="4"/>
  <c r="C95" i="4"/>
  <c r="B95" i="4"/>
  <c r="R94" i="4"/>
  <c r="Q94" i="4"/>
  <c r="S94" i="4" s="1"/>
  <c r="J93" i="5" s="1"/>
  <c r="C94" i="4"/>
  <c r="B94" i="4"/>
  <c r="S93" i="4"/>
  <c r="J92" i="5" s="1"/>
  <c r="R93" i="4"/>
  <c r="Q93" i="4"/>
  <c r="C93" i="4"/>
  <c r="B93" i="4"/>
  <c r="R92" i="4"/>
  <c r="Q92" i="4"/>
  <c r="S92" i="4" s="1"/>
  <c r="J91" i="5" s="1"/>
  <c r="C92" i="4"/>
  <c r="B92" i="4"/>
  <c r="A92" i="4"/>
  <c r="S91" i="4"/>
  <c r="J90" i="5" s="1"/>
  <c r="R91" i="4"/>
  <c r="Q91" i="4"/>
  <c r="C91" i="4"/>
  <c r="B91" i="4"/>
  <c r="R90" i="4"/>
  <c r="Q90" i="4"/>
  <c r="S90" i="4" s="1"/>
  <c r="J89" i="5" s="1"/>
  <c r="C90" i="4"/>
  <c r="B90" i="4"/>
  <c r="S89" i="4"/>
  <c r="J88" i="5" s="1"/>
  <c r="R89" i="4"/>
  <c r="Q89" i="4"/>
  <c r="C89" i="4"/>
  <c r="B89" i="4"/>
  <c r="R88" i="4"/>
  <c r="Q88" i="4"/>
  <c r="S88" i="4" s="1"/>
  <c r="J87" i="5" s="1"/>
  <c r="C88" i="4"/>
  <c r="B88" i="4"/>
  <c r="A88" i="4"/>
  <c r="S87" i="4"/>
  <c r="J86" i="5" s="1"/>
  <c r="R87" i="4"/>
  <c r="Q87" i="4"/>
  <c r="C87" i="4"/>
  <c r="B87" i="4"/>
  <c r="R86" i="4"/>
  <c r="Q86" i="4"/>
  <c r="S86" i="4" s="1"/>
  <c r="J85" i="5" s="1"/>
  <c r="C86" i="4"/>
  <c r="B86" i="4"/>
  <c r="S85" i="4"/>
  <c r="J84" i="5" s="1"/>
  <c r="R85" i="4"/>
  <c r="Q85" i="4"/>
  <c r="C85" i="4"/>
  <c r="B85" i="4"/>
  <c r="R84" i="4"/>
  <c r="Q84" i="4"/>
  <c r="S84" i="4" s="1"/>
  <c r="J83" i="5" s="1"/>
  <c r="C84" i="4"/>
  <c r="B84" i="4"/>
  <c r="A84" i="4"/>
  <c r="S83" i="4"/>
  <c r="J82" i="5" s="1"/>
  <c r="R83" i="4"/>
  <c r="Q83" i="4"/>
  <c r="C83" i="4"/>
  <c r="B83" i="4"/>
  <c r="R82" i="4"/>
  <c r="Q82" i="4"/>
  <c r="S82" i="4" s="1"/>
  <c r="J81" i="5" s="1"/>
  <c r="C82" i="4"/>
  <c r="B82" i="4"/>
  <c r="S81" i="4"/>
  <c r="J80" i="5" s="1"/>
  <c r="R81" i="4"/>
  <c r="Q81" i="4"/>
  <c r="C81" i="4"/>
  <c r="B81" i="4"/>
  <c r="R80" i="4"/>
  <c r="Q80" i="4"/>
  <c r="S80" i="4" s="1"/>
  <c r="J79" i="5" s="1"/>
  <c r="C80" i="4"/>
  <c r="B80" i="4"/>
  <c r="S79" i="4"/>
  <c r="J78" i="5" s="1"/>
  <c r="R79" i="4"/>
  <c r="Q79" i="4"/>
  <c r="C79" i="4"/>
  <c r="B79" i="4"/>
  <c r="A79" i="4"/>
  <c r="R78" i="4"/>
  <c r="Q78" i="4"/>
  <c r="S78" i="4" s="1"/>
  <c r="J77" i="5" s="1"/>
  <c r="C78" i="4"/>
  <c r="B78" i="4"/>
  <c r="S77" i="4"/>
  <c r="J76" i="5" s="1"/>
  <c r="R77" i="4"/>
  <c r="Q77" i="4"/>
  <c r="C77" i="4"/>
  <c r="B77" i="4"/>
  <c r="R76" i="4"/>
  <c r="Q76" i="4"/>
  <c r="S76" i="4" s="1"/>
  <c r="J75" i="5" s="1"/>
  <c r="C76" i="4"/>
  <c r="B76" i="4"/>
  <c r="S75" i="4"/>
  <c r="J74" i="5" s="1"/>
  <c r="R75" i="4"/>
  <c r="Q75" i="4"/>
  <c r="C75" i="4"/>
  <c r="B75" i="4"/>
  <c r="A75" i="4"/>
  <c r="R74" i="4"/>
  <c r="Q74" i="4"/>
  <c r="S74" i="4" s="1"/>
  <c r="J73" i="5" s="1"/>
  <c r="C74" i="4"/>
  <c r="B74" i="4"/>
  <c r="S73" i="4"/>
  <c r="J72" i="5" s="1"/>
  <c r="R73" i="4"/>
  <c r="Q73" i="4"/>
  <c r="C73" i="4"/>
  <c r="B73" i="4"/>
  <c r="R72" i="4"/>
  <c r="Q72" i="4"/>
  <c r="S72" i="4" s="1"/>
  <c r="J71" i="5" s="1"/>
  <c r="C72" i="4"/>
  <c r="B72" i="4"/>
  <c r="S71" i="4"/>
  <c r="J70" i="5" s="1"/>
  <c r="R71" i="4"/>
  <c r="Q71" i="4"/>
  <c r="C71" i="4"/>
  <c r="B71" i="4"/>
  <c r="A71" i="4"/>
  <c r="R70" i="4"/>
  <c r="Q70" i="4"/>
  <c r="S70" i="4" s="1"/>
  <c r="J69" i="5" s="1"/>
  <c r="C70" i="4"/>
  <c r="B70" i="4"/>
  <c r="S69" i="4"/>
  <c r="J68" i="5" s="1"/>
  <c r="R69" i="4"/>
  <c r="Q69" i="4"/>
  <c r="C69" i="4"/>
  <c r="B69" i="4"/>
  <c r="R68" i="4"/>
  <c r="Q68" i="4"/>
  <c r="S68" i="4" s="1"/>
  <c r="J67" i="5" s="1"/>
  <c r="C68" i="4"/>
  <c r="B68" i="4"/>
  <c r="S67" i="4"/>
  <c r="J66" i="5" s="1"/>
  <c r="R67" i="4"/>
  <c r="Q67" i="4"/>
  <c r="C67" i="4"/>
  <c r="B67" i="4"/>
  <c r="A67" i="4"/>
  <c r="R66" i="4"/>
  <c r="Q66" i="4"/>
  <c r="S66" i="4" s="1"/>
  <c r="J65" i="5" s="1"/>
  <c r="C66" i="4"/>
  <c r="B66" i="4"/>
  <c r="S65" i="4"/>
  <c r="J64" i="5" s="1"/>
  <c r="R65" i="4"/>
  <c r="Q65" i="4"/>
  <c r="C65" i="4"/>
  <c r="B65" i="4"/>
  <c r="R64" i="4"/>
  <c r="Q64" i="4"/>
  <c r="S64" i="4" s="1"/>
  <c r="J63" i="5" s="1"/>
  <c r="C64" i="4"/>
  <c r="B64" i="4"/>
  <c r="S63" i="4"/>
  <c r="J62" i="5" s="1"/>
  <c r="R63" i="4"/>
  <c r="Q63" i="4"/>
  <c r="C63" i="4"/>
  <c r="B63" i="4"/>
  <c r="A63" i="4"/>
  <c r="R62" i="4"/>
  <c r="Q62" i="4"/>
  <c r="S62" i="4" s="1"/>
  <c r="J61" i="5" s="1"/>
  <c r="C62" i="4"/>
  <c r="B62" i="4"/>
  <c r="S61" i="4"/>
  <c r="J60" i="5" s="1"/>
  <c r="R61" i="4"/>
  <c r="Q61" i="4"/>
  <c r="C61" i="4"/>
  <c r="B61" i="4"/>
  <c r="R60" i="4"/>
  <c r="Q60" i="4"/>
  <c r="S60" i="4" s="1"/>
  <c r="J59" i="5" s="1"/>
  <c r="C60" i="4"/>
  <c r="B60" i="4"/>
  <c r="S59" i="4"/>
  <c r="J58" i="5" s="1"/>
  <c r="R59" i="4"/>
  <c r="Q59" i="4"/>
  <c r="C59" i="4"/>
  <c r="B59" i="4"/>
  <c r="A59" i="4"/>
  <c r="R58" i="4"/>
  <c r="Q58" i="4"/>
  <c r="S58" i="4" s="1"/>
  <c r="J57" i="5" s="1"/>
  <c r="C58" i="4"/>
  <c r="B58" i="4"/>
  <c r="S57" i="4"/>
  <c r="J56" i="5" s="1"/>
  <c r="R57" i="4"/>
  <c r="Q57" i="4"/>
  <c r="C57" i="4"/>
  <c r="B57" i="4"/>
  <c r="R56" i="4"/>
  <c r="Q56" i="4"/>
  <c r="S56" i="4" s="1"/>
  <c r="J55" i="5" s="1"/>
  <c r="C56" i="4"/>
  <c r="B56" i="4"/>
  <c r="S55" i="4"/>
  <c r="J54" i="5" s="1"/>
  <c r="R55" i="4"/>
  <c r="Q55" i="4"/>
  <c r="C55" i="4"/>
  <c r="B55" i="4"/>
  <c r="A55" i="4"/>
  <c r="R54" i="4"/>
  <c r="Q54" i="4"/>
  <c r="S54" i="4" s="1"/>
  <c r="J53" i="5" s="1"/>
  <c r="C54" i="4"/>
  <c r="B54" i="4"/>
  <c r="S53" i="4"/>
  <c r="J52" i="5" s="1"/>
  <c r="R53" i="4"/>
  <c r="Q53" i="4"/>
  <c r="C53" i="4"/>
  <c r="B53" i="4"/>
  <c r="R52" i="4"/>
  <c r="Q52" i="4"/>
  <c r="S52" i="4" s="1"/>
  <c r="J51" i="5" s="1"/>
  <c r="C52" i="4"/>
  <c r="B52" i="4"/>
  <c r="S51" i="4"/>
  <c r="J50" i="5" s="1"/>
  <c r="R51" i="4"/>
  <c r="Q51" i="4"/>
  <c r="C51" i="4"/>
  <c r="B51" i="4"/>
  <c r="A51" i="4"/>
  <c r="R50" i="4"/>
  <c r="Q50" i="4"/>
  <c r="S50" i="4" s="1"/>
  <c r="J49" i="5" s="1"/>
  <c r="C50" i="4"/>
  <c r="B50" i="4"/>
  <c r="S49" i="4"/>
  <c r="J48" i="5" s="1"/>
  <c r="R49" i="4"/>
  <c r="Q49" i="4"/>
  <c r="C49" i="4"/>
  <c r="B49" i="4"/>
  <c r="R48" i="4"/>
  <c r="Q48" i="4"/>
  <c r="S48" i="4" s="1"/>
  <c r="J47" i="5" s="1"/>
  <c r="C48" i="4"/>
  <c r="B48" i="4"/>
  <c r="S47" i="4"/>
  <c r="J46" i="5" s="1"/>
  <c r="R47" i="4"/>
  <c r="Q47" i="4"/>
  <c r="C47" i="4"/>
  <c r="B47" i="4"/>
  <c r="A47" i="4"/>
  <c r="R46" i="4"/>
  <c r="Q46" i="4"/>
  <c r="S46" i="4" s="1"/>
  <c r="J45" i="5" s="1"/>
  <c r="C46" i="4"/>
  <c r="B46" i="4"/>
  <c r="S45" i="4"/>
  <c r="J44" i="5" s="1"/>
  <c r="R45" i="4"/>
  <c r="Q45" i="4"/>
  <c r="C45" i="4"/>
  <c r="B45" i="4"/>
  <c r="R44" i="4"/>
  <c r="Q44" i="4"/>
  <c r="S44" i="4" s="1"/>
  <c r="J43" i="5" s="1"/>
  <c r="C44" i="4"/>
  <c r="B44" i="4"/>
  <c r="S43" i="4"/>
  <c r="J42" i="5" s="1"/>
  <c r="R43" i="4"/>
  <c r="Q43" i="4"/>
  <c r="C43" i="4"/>
  <c r="B43" i="4"/>
  <c r="A43" i="4"/>
  <c r="R42" i="4"/>
  <c r="Q42" i="4"/>
  <c r="S42" i="4" s="1"/>
  <c r="J41" i="5" s="1"/>
  <c r="C42" i="4"/>
  <c r="B42" i="4"/>
  <c r="S41" i="4"/>
  <c r="J40" i="5" s="1"/>
  <c r="R41" i="4"/>
  <c r="Q41" i="4"/>
  <c r="C41" i="4"/>
  <c r="B41" i="4"/>
  <c r="R40" i="4"/>
  <c r="Q40" i="4"/>
  <c r="S40" i="4" s="1"/>
  <c r="J39" i="5" s="1"/>
  <c r="C40" i="4"/>
  <c r="B40" i="4"/>
  <c r="S39" i="4"/>
  <c r="J38" i="5" s="1"/>
  <c r="R39" i="4"/>
  <c r="Q39" i="4"/>
  <c r="C39" i="4"/>
  <c r="B39" i="4"/>
  <c r="A39" i="4"/>
  <c r="R38" i="4"/>
  <c r="Q38" i="4"/>
  <c r="S38" i="4" s="1"/>
  <c r="J37" i="5" s="1"/>
  <c r="C38" i="4"/>
  <c r="B38" i="4"/>
  <c r="S37" i="4"/>
  <c r="J36" i="5" s="1"/>
  <c r="R37" i="4"/>
  <c r="Q37" i="4"/>
  <c r="C37" i="4"/>
  <c r="B37" i="4"/>
  <c r="R36" i="4"/>
  <c r="Q36" i="4"/>
  <c r="S36" i="4" s="1"/>
  <c r="J35" i="5" s="1"/>
  <c r="C36" i="4"/>
  <c r="B36" i="4"/>
  <c r="S35" i="4"/>
  <c r="J34" i="5" s="1"/>
  <c r="R35" i="4"/>
  <c r="Q35" i="4"/>
  <c r="C35" i="4"/>
  <c r="B35" i="4"/>
  <c r="A35" i="4"/>
  <c r="R34" i="4"/>
  <c r="Q34" i="4"/>
  <c r="S34" i="4" s="1"/>
  <c r="J33" i="5" s="1"/>
  <c r="C34" i="4"/>
  <c r="B34" i="4"/>
  <c r="S33" i="4"/>
  <c r="J32" i="5" s="1"/>
  <c r="R33" i="4"/>
  <c r="Q33" i="4"/>
  <c r="C33" i="4"/>
  <c r="B33" i="4"/>
  <c r="R32" i="4"/>
  <c r="Q32" i="4"/>
  <c r="S32" i="4" s="1"/>
  <c r="J31" i="5" s="1"/>
  <c r="C32" i="4"/>
  <c r="B32" i="4"/>
  <c r="S31" i="4"/>
  <c r="J30" i="5" s="1"/>
  <c r="R31" i="4"/>
  <c r="Q31" i="4"/>
  <c r="C31" i="4"/>
  <c r="B31" i="4"/>
  <c r="A31" i="4"/>
  <c r="R30" i="4"/>
  <c r="Q30" i="4"/>
  <c r="S30" i="4" s="1"/>
  <c r="J29" i="5" s="1"/>
  <c r="C30" i="4"/>
  <c r="B30" i="4"/>
  <c r="S29" i="4"/>
  <c r="J28" i="5" s="1"/>
  <c r="R29" i="4"/>
  <c r="Q29" i="4"/>
  <c r="C29" i="4"/>
  <c r="B29" i="4"/>
  <c r="R28" i="4"/>
  <c r="Q28" i="4"/>
  <c r="S28" i="4" s="1"/>
  <c r="J27" i="5" s="1"/>
  <c r="C28" i="4"/>
  <c r="B28" i="4"/>
  <c r="S27" i="4"/>
  <c r="J26" i="5" s="1"/>
  <c r="R27" i="4"/>
  <c r="Q27" i="4"/>
  <c r="C27" i="4"/>
  <c r="B27" i="4"/>
  <c r="A27" i="4"/>
  <c r="R26" i="4"/>
  <c r="Q26" i="4"/>
  <c r="S26" i="4" s="1"/>
  <c r="J25" i="5" s="1"/>
  <c r="C26" i="4"/>
  <c r="B26" i="4"/>
  <c r="S25" i="4"/>
  <c r="J24" i="5" s="1"/>
  <c r="R25" i="4"/>
  <c r="Q25" i="4"/>
  <c r="C25" i="4"/>
  <c r="B25" i="4"/>
  <c r="R24" i="4"/>
  <c r="Q24" i="4"/>
  <c r="S24" i="4" s="1"/>
  <c r="J23" i="5" s="1"/>
  <c r="C24" i="4"/>
  <c r="B24" i="4"/>
  <c r="S23" i="4"/>
  <c r="J22" i="5" s="1"/>
  <c r="R23" i="4"/>
  <c r="Q23" i="4"/>
  <c r="C23" i="4"/>
  <c r="B23" i="4"/>
  <c r="A23" i="4"/>
  <c r="R22" i="4"/>
  <c r="Q22" i="4"/>
  <c r="S22" i="4" s="1"/>
  <c r="J21" i="5" s="1"/>
  <c r="C22" i="4"/>
  <c r="B22" i="4"/>
  <c r="S21" i="4"/>
  <c r="J20" i="5" s="1"/>
  <c r="R21" i="4"/>
  <c r="Q21" i="4"/>
  <c r="C21" i="4"/>
  <c r="B21" i="4"/>
  <c r="R20" i="4"/>
  <c r="Q20" i="4"/>
  <c r="S20" i="4" s="1"/>
  <c r="J19" i="5" s="1"/>
  <c r="C20" i="4"/>
  <c r="B20" i="4"/>
  <c r="S19" i="4"/>
  <c r="J18" i="5" s="1"/>
  <c r="R19" i="4"/>
  <c r="Q19" i="4"/>
  <c r="C19" i="4"/>
  <c r="B19" i="4"/>
  <c r="A19" i="4"/>
  <c r="R18" i="4"/>
  <c r="Q18" i="4"/>
  <c r="S18" i="4" s="1"/>
  <c r="J17" i="5" s="1"/>
  <c r="C18" i="4"/>
  <c r="B18" i="4"/>
  <c r="S17" i="4"/>
  <c r="J16" i="5" s="1"/>
  <c r="R17" i="4"/>
  <c r="Q17" i="4"/>
  <c r="C17" i="4"/>
  <c r="B17" i="4"/>
  <c r="R16" i="4"/>
  <c r="Q16" i="4"/>
  <c r="S16" i="4" s="1"/>
  <c r="J15" i="5" s="1"/>
  <c r="C16" i="4"/>
  <c r="B16" i="4"/>
  <c r="S15" i="4"/>
  <c r="J14" i="5" s="1"/>
  <c r="R15" i="4"/>
  <c r="Q15" i="4"/>
  <c r="C15" i="4"/>
  <c r="B15" i="4"/>
  <c r="A15" i="4"/>
  <c r="R14" i="4"/>
  <c r="Q14" i="4"/>
  <c r="S14" i="4" s="1"/>
  <c r="J13" i="5" s="1"/>
  <c r="C14" i="4"/>
  <c r="B14" i="4"/>
  <c r="S13" i="4"/>
  <c r="J12" i="5" s="1"/>
  <c r="R13" i="4"/>
  <c r="Q13" i="4"/>
  <c r="C13" i="4"/>
  <c r="B13" i="4"/>
  <c r="R12" i="4"/>
  <c r="Q12" i="4"/>
  <c r="S12" i="4" s="1"/>
  <c r="J11" i="5" s="1"/>
  <c r="C12" i="4"/>
  <c r="B12" i="4"/>
  <c r="S11" i="4"/>
  <c r="J10" i="5" s="1"/>
  <c r="R11" i="4"/>
  <c r="Q11" i="4"/>
  <c r="C11" i="4"/>
  <c r="B11" i="4"/>
  <c r="A11" i="4"/>
  <c r="R10" i="4"/>
  <c r="Q10" i="4"/>
  <c r="S10" i="4" s="1"/>
  <c r="J9" i="5" s="1"/>
  <c r="C10" i="4"/>
  <c r="B10" i="4"/>
  <c r="R9" i="4"/>
  <c r="Q9" i="4"/>
  <c r="C9" i="4"/>
  <c r="B9" i="4"/>
  <c r="R8" i="4"/>
  <c r="Q8" i="4"/>
  <c r="C8" i="4"/>
  <c r="B8" i="4"/>
  <c r="R7" i="4"/>
  <c r="Q7" i="4"/>
  <c r="C7" i="4"/>
  <c r="B7" i="4"/>
  <c r="A7" i="4"/>
  <c r="R6" i="4"/>
  <c r="Q6" i="4"/>
  <c r="S6" i="4" s="1"/>
  <c r="J5" i="5" s="1"/>
  <c r="C6" i="4"/>
  <c r="B6" i="4"/>
  <c r="S5" i="4"/>
  <c r="J4" i="5" s="1"/>
  <c r="R5" i="4"/>
  <c r="Q5" i="4"/>
  <c r="C5" i="4"/>
  <c r="B5" i="4"/>
  <c r="P3" i="4"/>
  <c r="O3" i="4"/>
  <c r="N3" i="4"/>
  <c r="M3" i="4"/>
  <c r="L3" i="4"/>
  <c r="K3" i="4"/>
  <c r="J3" i="4"/>
  <c r="I3" i="4"/>
  <c r="H3" i="4"/>
  <c r="G3" i="4"/>
  <c r="F3" i="4"/>
  <c r="E3" i="4"/>
  <c r="D3" i="4"/>
  <c r="F38" i="3"/>
  <c r="F32" i="3"/>
  <c r="D27" i="2"/>
  <c r="D26" i="2"/>
  <c r="D25" i="2"/>
  <c r="D24" i="2"/>
  <c r="D23" i="2"/>
  <c r="D22" i="2"/>
  <c r="D21" i="2"/>
  <c r="B124" i="1"/>
  <c r="B123" i="1"/>
  <c r="B122" i="1"/>
  <c r="A120" i="1"/>
  <c r="A103" i="5" s="1"/>
  <c r="A119" i="1"/>
  <c r="A118" i="1"/>
  <c r="A101" i="5" s="1"/>
  <c r="A117" i="1"/>
  <c r="A116" i="1"/>
  <c r="A99" i="5" s="1"/>
  <c r="A115" i="1"/>
  <c r="A114" i="1"/>
  <c r="A97" i="5" s="1"/>
  <c r="A113" i="1"/>
  <c r="A112" i="1"/>
  <c r="A95" i="5" s="1"/>
  <c r="A111" i="1"/>
  <c r="A110" i="1"/>
  <c r="A93" i="5" s="1"/>
  <c r="A109" i="1"/>
  <c r="A108" i="1"/>
  <c r="A91" i="5" s="1"/>
  <c r="A107" i="1"/>
  <c r="A106" i="1"/>
  <c r="A89" i="5" s="1"/>
  <c r="A105" i="1"/>
  <c r="A104" i="1"/>
  <c r="A87" i="5" s="1"/>
  <c r="A103" i="1"/>
  <c r="A102" i="1"/>
  <c r="A85" i="5" s="1"/>
  <c r="A101" i="1"/>
  <c r="A84" i="5" s="1"/>
  <c r="A100" i="1"/>
  <c r="A83" i="5" s="1"/>
  <c r="A99" i="1"/>
  <c r="A82" i="5" s="1"/>
  <c r="A98" i="1"/>
  <c r="A81" i="5" s="1"/>
  <c r="A97" i="1"/>
  <c r="A80" i="5" s="1"/>
  <c r="A96" i="1"/>
  <c r="A79" i="5" s="1"/>
  <c r="A95" i="1"/>
  <c r="A78" i="5" s="1"/>
  <c r="A94" i="1"/>
  <c r="A77" i="5" s="1"/>
  <c r="A93" i="1"/>
  <c r="A76" i="5" s="1"/>
  <c r="A92" i="1"/>
  <c r="A75" i="5" s="1"/>
  <c r="A91" i="1"/>
  <c r="A74" i="5" s="1"/>
  <c r="A90" i="1"/>
  <c r="A73" i="5" s="1"/>
  <c r="A89" i="1"/>
  <c r="A72" i="5" s="1"/>
  <c r="A88" i="1"/>
  <c r="A71" i="5" s="1"/>
  <c r="A87" i="1"/>
  <c r="A70" i="5" s="1"/>
  <c r="A86" i="1"/>
  <c r="A69" i="5" s="1"/>
  <c r="A85" i="1"/>
  <c r="A68" i="5" s="1"/>
  <c r="A84" i="1"/>
  <c r="A67" i="5" s="1"/>
  <c r="A83" i="1"/>
  <c r="A66" i="5" s="1"/>
  <c r="A82" i="1"/>
  <c r="A65" i="5" s="1"/>
  <c r="A81" i="1"/>
  <c r="A64" i="5" s="1"/>
  <c r="A80" i="1"/>
  <c r="A63" i="5" s="1"/>
  <c r="A79" i="1"/>
  <c r="A62" i="5" s="1"/>
  <c r="A78" i="1"/>
  <c r="A61" i="5" s="1"/>
  <c r="A77" i="1"/>
  <c r="A60" i="5" s="1"/>
  <c r="A76" i="1"/>
  <c r="A59" i="5" s="1"/>
  <c r="A75" i="1"/>
  <c r="A58" i="5" s="1"/>
  <c r="A74" i="1"/>
  <c r="A57" i="5" s="1"/>
  <c r="A73" i="1"/>
  <c r="A56" i="5" s="1"/>
  <c r="A72" i="1"/>
  <c r="A55" i="5" s="1"/>
  <c r="A71" i="1"/>
  <c r="A54" i="5" s="1"/>
  <c r="A70" i="1"/>
  <c r="A69" i="1"/>
  <c r="A52" i="5" s="1"/>
  <c r="A68" i="1"/>
  <c r="A51" i="5" s="1"/>
  <c r="A67" i="1"/>
  <c r="A50" i="5" s="1"/>
  <c r="A66" i="1"/>
  <c r="A49" i="5" s="1"/>
  <c r="A65" i="1"/>
  <c r="A48" i="5" s="1"/>
  <c r="A64" i="1"/>
  <c r="A47" i="5" s="1"/>
  <c r="A63" i="1"/>
  <c r="A46" i="5" s="1"/>
  <c r="A62" i="1"/>
  <c r="A45" i="5" s="1"/>
  <c r="A61" i="1"/>
  <c r="A44" i="5" s="1"/>
  <c r="A60" i="1"/>
  <c r="A43" i="5" s="1"/>
  <c r="A59" i="1"/>
  <c r="A42" i="5" s="1"/>
  <c r="A58" i="1"/>
  <c r="A41" i="5" s="1"/>
  <c r="A57" i="1"/>
  <c r="A40" i="5" s="1"/>
  <c r="A56" i="1"/>
  <c r="A39" i="5" s="1"/>
  <c r="A55" i="1"/>
  <c r="A38" i="5" s="1"/>
  <c r="A54" i="1"/>
  <c r="A37" i="5" s="1"/>
  <c r="A53" i="1"/>
  <c r="A36" i="5" s="1"/>
  <c r="A52" i="1"/>
  <c r="A35" i="5" s="1"/>
  <c r="A51" i="1"/>
  <c r="A34" i="5" s="1"/>
  <c r="A50" i="1"/>
  <c r="A33" i="5" s="1"/>
  <c r="A49" i="1"/>
  <c r="A32" i="5" s="1"/>
  <c r="A48" i="1"/>
  <c r="A31" i="5" s="1"/>
  <c r="A47" i="1"/>
  <c r="A30" i="5" s="1"/>
  <c r="A46" i="1"/>
  <c r="A29" i="5" s="1"/>
  <c r="A45" i="1"/>
  <c r="A28" i="5" s="1"/>
  <c r="A44" i="1"/>
  <c r="A27" i="5" s="1"/>
  <c r="A43" i="1"/>
  <c r="A26" i="5" s="1"/>
  <c r="A42" i="1"/>
  <c r="A25" i="5" s="1"/>
  <c r="A41" i="1"/>
  <c r="A24" i="5" s="1"/>
  <c r="A40" i="1"/>
  <c r="A23" i="5" s="1"/>
  <c r="A39" i="1"/>
  <c r="A22" i="5" s="1"/>
  <c r="A38" i="1"/>
  <c r="A21" i="5" s="1"/>
  <c r="A37" i="1"/>
  <c r="A20" i="5" s="1"/>
  <c r="A36" i="1"/>
  <c r="A19" i="5" s="1"/>
  <c r="A35" i="1"/>
  <c r="A18" i="5" s="1"/>
  <c r="A34" i="1"/>
  <c r="A17" i="5" s="1"/>
  <c r="A33" i="1"/>
  <c r="A16" i="5" s="1"/>
  <c r="A32" i="1"/>
  <c r="A15" i="5" s="1"/>
  <c r="A31" i="1"/>
  <c r="A14" i="5" s="1"/>
  <c r="A30" i="1"/>
  <c r="A13" i="5" s="1"/>
  <c r="A29" i="1"/>
  <c r="A12" i="5" s="1"/>
  <c r="A28" i="1"/>
  <c r="A11" i="5" s="1"/>
  <c r="A27" i="1"/>
  <c r="A10" i="5" s="1"/>
  <c r="A26" i="1"/>
  <c r="A9" i="5" s="1"/>
  <c r="A25" i="1"/>
  <c r="A8" i="5" s="1"/>
  <c r="A24" i="1"/>
  <c r="A7" i="5" s="1"/>
  <c r="A23" i="1"/>
  <c r="A6" i="5" s="1"/>
  <c r="A22" i="1"/>
  <c r="A5" i="5" s="1"/>
  <c r="A21" i="1"/>
  <c r="A4" i="5" s="1"/>
  <c r="R106" i="4" l="1"/>
  <c r="Q106" i="4"/>
  <c r="S8" i="4"/>
  <c r="J7" i="5" s="1"/>
  <c r="D7" i="3"/>
  <c r="D11" i="3"/>
  <c r="D13" i="3"/>
  <c r="D19" i="3"/>
  <c r="D24" i="3"/>
  <c r="D29" i="3"/>
  <c r="A5" i="4"/>
  <c r="A9" i="4"/>
  <c r="A13" i="4"/>
  <c r="A17" i="4"/>
  <c r="A21" i="4"/>
  <c r="A25" i="4"/>
  <c r="A29" i="4"/>
  <c r="A33" i="4"/>
  <c r="A37" i="4"/>
  <c r="A41" i="4"/>
  <c r="A45" i="4"/>
  <c r="A49" i="4"/>
  <c r="A53" i="4"/>
  <c r="A57" i="4"/>
  <c r="A61" i="4"/>
  <c r="A65" i="4"/>
  <c r="A69" i="4"/>
  <c r="A73" i="4"/>
  <c r="A77" i="4"/>
  <c r="H32" i="7"/>
  <c r="B36" i="7"/>
  <c r="H30" i="7"/>
  <c r="H34" i="6"/>
  <c r="H29" i="6"/>
  <c r="H34" i="7"/>
  <c r="H29" i="7"/>
  <c r="H33" i="6"/>
  <c r="H28" i="6"/>
  <c r="H28" i="7"/>
  <c r="B36" i="6"/>
  <c r="A88" i="5"/>
  <c r="A89" i="4"/>
  <c r="A92" i="5"/>
  <c r="A93" i="4"/>
  <c r="A96" i="5"/>
  <c r="A97" i="4"/>
  <c r="A100" i="5"/>
  <c r="A101" i="4"/>
  <c r="D55" i="8"/>
  <c r="A5" i="8"/>
  <c r="D54" i="8"/>
  <c r="A50" i="8"/>
  <c r="A53" i="5"/>
  <c r="D8" i="3"/>
  <c r="D14" i="3"/>
  <c r="D25" i="3"/>
  <c r="S9" i="4"/>
  <c r="J8" i="5" s="1"/>
  <c r="A82" i="4"/>
  <c r="A85" i="4"/>
  <c r="H33" i="7"/>
  <c r="E12" i="3"/>
  <c r="D20" i="3"/>
  <c r="S7" i="4"/>
  <c r="J6" i="5" s="1"/>
  <c r="A86" i="5"/>
  <c r="A87" i="4"/>
  <c r="A90" i="5"/>
  <c r="A91" i="4"/>
  <c r="A94" i="5"/>
  <c r="A95" i="4"/>
  <c r="A98" i="5"/>
  <c r="A99" i="4"/>
  <c r="A102" i="5"/>
  <c r="A103" i="4"/>
  <c r="B35" i="2"/>
  <c r="D9" i="3"/>
  <c r="G12" i="3"/>
  <c r="D16" i="3"/>
  <c r="D22" i="3"/>
  <c r="D27" i="3"/>
  <c r="A6" i="4"/>
  <c r="A8" i="4"/>
  <c r="A10" i="4"/>
  <c r="A12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64" i="4"/>
  <c r="A66" i="4"/>
  <c r="A68" i="4"/>
  <c r="A70" i="4"/>
  <c r="A72" i="4"/>
  <c r="A74" i="4"/>
  <c r="A76" i="4"/>
  <c r="A78" i="4"/>
  <c r="A80" i="4"/>
  <c r="A83" i="4"/>
  <c r="H30" i="6"/>
  <c r="B37" i="2"/>
  <c r="P10" i="3"/>
  <c r="D10" i="3" s="1"/>
  <c r="D17" i="3"/>
  <c r="D23" i="3"/>
  <c r="D28" i="3"/>
  <c r="A81" i="4"/>
  <c r="A86" i="4"/>
  <c r="A90" i="4"/>
  <c r="A94" i="4"/>
  <c r="A98" i="4"/>
  <c r="A102" i="4"/>
  <c r="H32" i="6"/>
  <c r="A26" i="7" l="1"/>
  <c r="E25" i="7"/>
  <c r="L25" i="7" s="1"/>
  <c r="F25" i="7" s="1"/>
  <c r="D5" i="7"/>
  <c r="J42" i="7"/>
  <c r="D42" i="7" s="1"/>
  <c r="D6" i="6"/>
  <c r="D6" i="7"/>
  <c r="E24" i="6"/>
  <c r="E23" i="6"/>
  <c r="E22" i="6"/>
  <c r="E20" i="6"/>
  <c r="E19" i="6"/>
  <c r="E18" i="6"/>
  <c r="E17" i="6"/>
  <c r="E16" i="6"/>
  <c r="E15" i="6"/>
  <c r="E14" i="6"/>
  <c r="E13" i="6"/>
  <c r="E12" i="6"/>
  <c r="E11" i="6"/>
  <c r="J43" i="7"/>
  <c r="D43" i="7" s="1"/>
  <c r="E23" i="7"/>
  <c r="E20" i="7"/>
  <c r="E18" i="7"/>
  <c r="E16" i="7"/>
  <c r="E14" i="7"/>
  <c r="E12" i="7"/>
  <c r="A26" i="6"/>
  <c r="E17" i="7"/>
  <c r="E19" i="7"/>
  <c r="E11" i="7"/>
  <c r="D5" i="6"/>
  <c r="E22" i="7"/>
  <c r="E13" i="7"/>
  <c r="E25" i="6"/>
  <c r="L25" i="6" s="1"/>
  <c r="F25" i="6" s="1"/>
  <c r="E24" i="7"/>
  <c r="E15" i="7"/>
  <c r="H15" i="7" l="1"/>
  <c r="F15" i="7"/>
  <c r="H22" i="7"/>
  <c r="F22" i="7"/>
  <c r="H17" i="7"/>
  <c r="F17" i="7"/>
  <c r="H16" i="7"/>
  <c r="F16" i="7"/>
  <c r="F14" i="6"/>
  <c r="H14" i="6"/>
  <c r="F18" i="6"/>
  <c r="H18" i="6"/>
  <c r="F23" i="6"/>
  <c r="H23" i="6"/>
  <c r="H24" i="7"/>
  <c r="F24" i="7"/>
  <c r="H18" i="7"/>
  <c r="F18" i="7"/>
  <c r="F11" i="6"/>
  <c r="H11" i="6"/>
  <c r="F15" i="6"/>
  <c r="H15" i="6"/>
  <c r="F19" i="6"/>
  <c r="H19" i="6"/>
  <c r="F24" i="6"/>
  <c r="H24" i="6"/>
  <c r="H11" i="7"/>
  <c r="F11" i="7"/>
  <c r="H12" i="7"/>
  <c r="F12" i="7"/>
  <c r="H20" i="7"/>
  <c r="F20" i="7"/>
  <c r="F12" i="6"/>
  <c r="H12" i="6"/>
  <c r="F16" i="6"/>
  <c r="H16" i="6"/>
  <c r="F20" i="6"/>
  <c r="H20" i="6"/>
  <c r="H13" i="7"/>
  <c r="F13" i="7"/>
  <c r="H19" i="7"/>
  <c r="F19" i="7"/>
  <c r="H14" i="7"/>
  <c r="F14" i="7"/>
  <c r="H23" i="7"/>
  <c r="F23" i="7"/>
  <c r="F13" i="6"/>
  <c r="H13" i="6"/>
  <c r="F17" i="6"/>
  <c r="H17" i="6"/>
  <c r="F22" i="6"/>
  <c r="H22" i="6"/>
  <c r="H25" i="6" l="1"/>
  <c r="H25" i="7"/>
</calcChain>
</file>

<file path=xl/comments1.xml><?xml version="1.0" encoding="utf-8"?>
<comments xmlns="http://schemas.openxmlformats.org/spreadsheetml/2006/main">
  <authors>
    <author>tc={A5F19F26-FDE7-4B2B-A63B-6A0AB8DA4C69}</author>
    <author>tc={242F1F51-02FB-4C5E-B507-469A5856056C}</author>
  </authors>
  <commentList>
    <comment ref="T5" authorId="0">
      <text>
        <r>
          <rPr>
            <sz val="11"/>
            <color theme="1"/>
            <rFont val="Calibri"/>
            <scheme val="minor"/>
          </rPr>
          <t>[Komentar beralur]
Versi Excel memungkinkan Anda untuk membaca komentar beralur; namun, setiap pengeditan pada komentar akan dihapus jika file dibuka di versi Excel yang lebih baru. Pelajari selengkapnya: https://go.microsoft.com/fwlink/?linkid=870924
Komentar:
    Diisi kelas (nomor 2,3,4,5 atau LULUS)</t>
        </r>
      </text>
    </comment>
    <comment ref="U5" authorId="1">
      <text>
        <r>
          <rPr>
            <sz val="11"/>
            <color theme="1"/>
            <rFont val="Calibri"/>
            <scheme val="minor"/>
          </rPr>
          <t>[Komentar beralur]
Versi Excel memungkinkan Anda untuk membaca komentar beralur; namun, setiap pengeditan pada komentar akan dihapus jika file dibuka di versi Excel yang lebih baru. Pelajari selengkapnya: https://go.microsoft.com/fwlink/?linkid=870924
Komentar:
    Diisi kelas (nomor 1,2,3)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J4" authorId="0">
      <text>
        <r>
          <rPr>
            <sz val="11"/>
            <color theme="1"/>
            <rFont val="Calibri"/>
            <family val="2"/>
            <scheme val="minor"/>
          </rPr>
          <t>======
ID#AAABryx_gSI
SDN Bandung 3    (2025-09-11 00:19:00)
Otomatis jangan diisi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" roundtripDataSignature="AMtx7midjNXoI7jk8mD6xXoGTVNg5vmKeA=="/>
    </ext>
  </extLst>
</comments>
</file>

<file path=xl/comments3.xml><?xml version="1.0" encoding="utf-8"?>
<comments xmlns="http://schemas.openxmlformats.org/spreadsheetml/2006/main">
  <authors>
    <author/>
  </authors>
  <commentList>
    <comment ref="J42" authorId="0">
      <text>
        <r>
          <rPr>
            <sz val="11"/>
            <color theme="1"/>
            <rFont val="Calibri"/>
            <family val="2"/>
            <scheme val="minor"/>
          </rPr>
          <t>======
ID#AAABryx_gSM
SDN Bandung 3    (2025-09-11 00:19:00)
jangan diisi, berisi rumus
 otomatis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" roundtripDataSignature="AMtx7midn0whRY6BrgRWEo2oupYP5P8zbA=="/>
    </ext>
  </extLst>
</comments>
</file>

<file path=xl/sharedStrings.xml><?xml version="1.0" encoding="utf-8"?>
<sst xmlns="http://schemas.openxmlformats.org/spreadsheetml/2006/main" count="549" uniqueCount="291">
  <si>
    <t>IDENTITAS LEMBAGA</t>
  </si>
  <si>
    <t>MATA PELAJARAN</t>
  </si>
  <si>
    <t xml:space="preserve">NAMA MADRASAH     </t>
  </si>
  <si>
    <t>ARRODLIYAH</t>
  </si>
  <si>
    <t>AL QUR'AN</t>
  </si>
  <si>
    <t>KEAGAMAAN</t>
  </si>
  <si>
    <t xml:space="preserve">Created by : </t>
  </si>
  <si>
    <t>NOMOR STATISTIK</t>
  </si>
  <si>
    <t>311233280578</t>
  </si>
  <si>
    <t>AL HADITS</t>
  </si>
  <si>
    <t>www.fkdtdukuhturi.web.id</t>
  </si>
  <si>
    <t>ALAMAT</t>
  </si>
  <si>
    <t>Gg. Madrasah RT 08 RW 01 No.19</t>
  </si>
  <si>
    <t>AQIDAH</t>
  </si>
  <si>
    <t>Donasi Pulsa : 085741777887</t>
  </si>
  <si>
    <t>DESA/KELURAHAN</t>
  </si>
  <si>
    <t>DUKUHTURI</t>
  </si>
  <si>
    <t>AKHLAQ</t>
  </si>
  <si>
    <t>KECAMATAN</t>
  </si>
  <si>
    <t>FIQIH</t>
  </si>
  <si>
    <t>KABUPATEN/KOTA</t>
  </si>
  <si>
    <t>KABUPATEN TEGAL</t>
  </si>
  <si>
    <t>TARIKH ISLAM</t>
  </si>
  <si>
    <t>PROVINSI</t>
  </si>
  <si>
    <t>JAWA TENGAH</t>
  </si>
  <si>
    <t>BAHASA ARAB</t>
  </si>
  <si>
    <t>NAHWU</t>
  </si>
  <si>
    <t>KELAS</t>
  </si>
  <si>
    <t>I (SATU)</t>
  </si>
  <si>
    <t>SHARAF</t>
  </si>
  <si>
    <t>TAHUN PELAJARAN</t>
  </si>
  <si>
    <t>1446 / 1447</t>
  </si>
  <si>
    <t>MASEHI</t>
  </si>
  <si>
    <t>2025 / 2026</t>
  </si>
  <si>
    <t>PRAKTIK IBADAH</t>
  </si>
  <si>
    <t>MULOK</t>
  </si>
  <si>
    <t>TEMPAT RAPORT</t>
  </si>
  <si>
    <t>Tegal</t>
  </si>
  <si>
    <t>BTQ</t>
  </si>
  <si>
    <t>TANGGAL RAPORT</t>
  </si>
  <si>
    <t>13 September 2025</t>
  </si>
  <si>
    <t>Ke-NU-an</t>
  </si>
  <si>
    <t>WALI KELAS</t>
  </si>
  <si>
    <t>TOIPAH</t>
  </si>
  <si>
    <t>KEPALA MADIN</t>
  </si>
  <si>
    <t>NURKHOLIS, S.Pd.I</t>
  </si>
  <si>
    <t>Tanggal Biodata</t>
  </si>
  <si>
    <t>Tegal, 14 April 2025</t>
  </si>
  <si>
    <t>IDENTITAS SISWA</t>
  </si>
  <si>
    <t>NO. URUT</t>
  </si>
  <si>
    <t>NO. INDUK</t>
  </si>
  <si>
    <t>NAMA</t>
  </si>
  <si>
    <t>TEMPAT, TANGGAL LAHIR</t>
  </si>
  <si>
    <t>JK</t>
  </si>
  <si>
    <t>PEND. SEBELUMNYA</t>
  </si>
  <si>
    <t>TGL MASUK MDT</t>
  </si>
  <si>
    <t>KELAS MASUK MDT</t>
  </si>
  <si>
    <t>AGAMA</t>
  </si>
  <si>
    <t>ALAMAT SANTRI</t>
  </si>
  <si>
    <t>NAMA AYAH</t>
  </si>
  <si>
    <t xml:space="preserve">NAMA IBU </t>
  </si>
  <si>
    <t>PEKERJAAN AYAH</t>
  </si>
  <si>
    <t>PEKERJAAN IBU</t>
  </si>
  <si>
    <t>ALAMAT ORTU : JALAN/ RT.RW</t>
  </si>
  <si>
    <t xml:space="preserve">NAMA WALI </t>
  </si>
  <si>
    <t>PEKERJAAN WALI</t>
  </si>
  <si>
    <t>ALAMAT WALI</t>
  </si>
  <si>
    <t>SANTRI 1</t>
  </si>
  <si>
    <t>Tegal, 23 Mei 2012</t>
  </si>
  <si>
    <t>L</t>
  </si>
  <si>
    <t>TPQ Arrodliyah</t>
  </si>
  <si>
    <t>14 April 2025</t>
  </si>
  <si>
    <t>1 (Satu)</t>
  </si>
  <si>
    <t>Islam</t>
  </si>
  <si>
    <t>Dukuhturi</t>
  </si>
  <si>
    <t>Jalil</t>
  </si>
  <si>
    <t>Riyanti</t>
  </si>
  <si>
    <t>Pedagang</t>
  </si>
  <si>
    <t>Buruh</t>
  </si>
  <si>
    <t>RT 5 RW 1</t>
  </si>
  <si>
    <t>Kabupaten Tegal</t>
  </si>
  <si>
    <t>Ujang</t>
  </si>
  <si>
    <t>Sidapurna</t>
  </si>
  <si>
    <t>SANTRI 2</t>
  </si>
  <si>
    <t>Tegal, 23 Mei 2013</t>
  </si>
  <si>
    <t>P</t>
  </si>
  <si>
    <t>-</t>
  </si>
  <si>
    <t>RT 5 RW 2</t>
  </si>
  <si>
    <t>SANTRI 3</t>
  </si>
  <si>
    <t>Tegal, 23 Mei 2014</t>
  </si>
  <si>
    <t>RT 5 RW 3</t>
  </si>
  <si>
    <t>Kalinyamat Kulon</t>
  </si>
  <si>
    <t>Margadana</t>
  </si>
  <si>
    <t>Kota Tegal</t>
  </si>
  <si>
    <t>SANTRI 4</t>
  </si>
  <si>
    <t>Tegal, 23 Mei 2015</t>
  </si>
  <si>
    <t>TPQ Al Hamid</t>
  </si>
  <si>
    <t>RT 5 RW 4</t>
  </si>
  <si>
    <t>Kalinyamat Wetan</t>
  </si>
  <si>
    <t>Tegal Selatan</t>
  </si>
  <si>
    <t>SANTRI 5</t>
  </si>
  <si>
    <t>Tegal, 23 Mei 2016</t>
  </si>
  <si>
    <t>RT 5 RW 5</t>
  </si>
  <si>
    <t>Laki-laki</t>
  </si>
  <si>
    <t>Perempuan</t>
  </si>
  <si>
    <t>Jumlah</t>
  </si>
  <si>
    <t>BUKU RAPORT</t>
  </si>
  <si>
    <t>MADRASAH DINIYAH TAKMILIYAH ULA</t>
  </si>
  <si>
    <t>:</t>
  </si>
  <si>
    <t>NAMA SANTRI</t>
  </si>
  <si>
    <t>⬅ Bisa diketik nomor urutnya</t>
  </si>
  <si>
    <t>IDENTITAS SANTRI</t>
  </si>
  <si>
    <t>1.</t>
  </si>
  <si>
    <t>Nama santri</t>
  </si>
  <si>
    <t>2.</t>
  </si>
  <si>
    <t>Nomor Induk</t>
  </si>
  <si>
    <t>3.</t>
  </si>
  <si>
    <t>Tempat, Tanggal Lahir</t>
  </si>
  <si>
    <t xml:space="preserve">4. </t>
  </si>
  <si>
    <t>Jenis Kelamin</t>
  </si>
  <si>
    <t>5.</t>
  </si>
  <si>
    <t>Pendidikan Sebelumnya</t>
  </si>
  <si>
    <t>6.</t>
  </si>
  <si>
    <t>Masuk Madrasah ini</t>
  </si>
  <si>
    <t>Tanggal :</t>
  </si>
  <si>
    <t>Di Kelas  :</t>
  </si>
  <si>
    <t>7.</t>
  </si>
  <si>
    <t>Agama</t>
  </si>
  <si>
    <t>8.</t>
  </si>
  <si>
    <t>Alamat santri</t>
  </si>
  <si>
    <t>9.</t>
  </si>
  <si>
    <t>Nama Orang Tua</t>
  </si>
  <si>
    <t>a. Ayah</t>
  </si>
  <si>
    <t>b. Ibu</t>
  </si>
  <si>
    <t>10.</t>
  </si>
  <si>
    <t>Pekerjaan Orang Tua</t>
  </si>
  <si>
    <t>11.</t>
  </si>
  <si>
    <t>Alamat Orang Tua</t>
  </si>
  <si>
    <t>Jalan/ RT RW</t>
  </si>
  <si>
    <t>Desa/ Kelurahan</t>
  </si>
  <si>
    <t>Kecamatan</t>
  </si>
  <si>
    <t>Kabupaten/ Kota</t>
  </si>
  <si>
    <t>12.</t>
  </si>
  <si>
    <t>Wali Santri</t>
  </si>
  <si>
    <t>a. Nama</t>
  </si>
  <si>
    <t>b. Pekerjaan</t>
  </si>
  <si>
    <t>c. Alamat</t>
  </si>
  <si>
    <t>Kepala Madrasah,</t>
  </si>
  <si>
    <t>NO.</t>
  </si>
  <si>
    <t>NIS</t>
  </si>
  <si>
    <t>JUMLAH</t>
  </si>
  <si>
    <t>RATA-RATA</t>
  </si>
  <si>
    <t>RANKING</t>
  </si>
  <si>
    <t>NAIK KE KELAS</t>
  </si>
  <si>
    <t>TINGGAL DI KELAS</t>
  </si>
  <si>
    <t>LULUS</t>
  </si>
  <si>
    <t>KEPRIBADIAN</t>
  </si>
  <si>
    <t>KETIDAKHADIRAN</t>
  </si>
  <si>
    <t>CATATAN</t>
  </si>
  <si>
    <t>KELAKUAN</t>
  </si>
  <si>
    <t>KERAJINAN</t>
  </si>
  <si>
    <t>KEBERSIHAN</t>
  </si>
  <si>
    <t>SAKIT</t>
  </si>
  <si>
    <t>IZIN</t>
  </si>
  <si>
    <t>ALPA</t>
  </si>
  <si>
    <t>B</t>
  </si>
  <si>
    <t>Ananda, rajinlah membaca dan mengulang pelajaran. Ingatlah sabda Nabi ﷺ: ‘Barang siapa menempuh jalan untuk mencari ilmu, Allah akan mudahkan baginya jalan menuju surga.’</t>
  </si>
  <si>
    <t>Ilmu adalah cahaya, dan cahaya Allah tidak diberikan kepada orang yang malas. Teruslah belajar dengan tekun, semoga Allah memberkahimu.</t>
  </si>
  <si>
    <t>Jangan pernah lelah untuk belajar, karena ilmu yang kau raih hari ini akan menjadi penerang jalanmu di masa depan.</t>
  </si>
  <si>
    <t>Semoga ananda selalu istiqamah dalam belajar, disiplin dalam ibadah, dan berbakti kepada orang tua serta guru.</t>
  </si>
  <si>
    <t>DAFTAR NILAI</t>
  </si>
  <si>
    <t>Nama MDTU</t>
  </si>
  <si>
    <t>Kelas</t>
  </si>
  <si>
    <t>Alamat</t>
  </si>
  <si>
    <t>Semester</t>
  </si>
  <si>
    <t>: 1 (SATU)</t>
  </si>
  <si>
    <t>Nama Santri</t>
  </si>
  <si>
    <t>Tahun pelajaran</t>
  </si>
  <si>
    <t>No. Induk</t>
  </si>
  <si>
    <t>No.</t>
  </si>
  <si>
    <t>Mata pelajaran</t>
  </si>
  <si>
    <t>Nilai Prestasi</t>
  </si>
  <si>
    <t>Nilai Rata-rata Kelas</t>
  </si>
  <si>
    <t>Angka</t>
  </si>
  <si>
    <t>Huruf</t>
  </si>
  <si>
    <t>Keagamaan</t>
  </si>
  <si>
    <t>KONVERSI HURUF</t>
  </si>
  <si>
    <t>a.</t>
  </si>
  <si>
    <t>PULUHAN</t>
  </si>
  <si>
    <t>SATUAN</t>
  </si>
  <si>
    <t>b.</t>
  </si>
  <si>
    <t>c.</t>
  </si>
  <si>
    <t>satu</t>
  </si>
  <si>
    <t>d.</t>
  </si>
  <si>
    <t>Dua puluh</t>
  </si>
  <si>
    <t>dua</t>
  </si>
  <si>
    <t>e.</t>
  </si>
  <si>
    <t>Tiga puluh</t>
  </si>
  <si>
    <t>tiga</t>
  </si>
  <si>
    <t>f.</t>
  </si>
  <si>
    <t>Empat puluh</t>
  </si>
  <si>
    <t>empat</t>
  </si>
  <si>
    <t>g.</t>
  </si>
  <si>
    <t>Lima puluh</t>
  </si>
  <si>
    <t>lima</t>
  </si>
  <si>
    <t>h.</t>
  </si>
  <si>
    <t>Enam puluh</t>
  </si>
  <si>
    <t>enam</t>
  </si>
  <si>
    <t>i.</t>
  </si>
  <si>
    <t>Tujuh puluh</t>
  </si>
  <si>
    <t>tujuh</t>
  </si>
  <si>
    <t>j.</t>
  </si>
  <si>
    <t>Delapan puluh</t>
  </si>
  <si>
    <t>delapan</t>
  </si>
  <si>
    <t>Muatan Lokal</t>
  </si>
  <si>
    <t>Sembilan puluh</t>
  </si>
  <si>
    <t>sembilan</t>
  </si>
  <si>
    <t>Kepribadian</t>
  </si>
  <si>
    <t>1. Kelakuan</t>
  </si>
  <si>
    <t>2. Kerajinan</t>
  </si>
  <si>
    <t>3. Kebersihan</t>
  </si>
  <si>
    <t>Ketidakhadiran</t>
  </si>
  <si>
    <t>1. sakit</t>
  </si>
  <si>
    <t>2. izin</t>
  </si>
  <si>
    <t>3. sakit</t>
  </si>
  <si>
    <t>Catatan untuk diperhatikan orang tua/ wali :</t>
  </si>
  <si>
    <t>Diberikan di</t>
  </si>
  <si>
    <t>Tanggal</t>
  </si>
  <si>
    <t>Mengetahui</t>
  </si>
  <si>
    <t>Orang Tua,</t>
  </si>
  <si>
    <t>Wali Kelas,</t>
  </si>
  <si>
    <t>............................</t>
  </si>
  <si>
    <t>: 2 (DUA)</t>
  </si>
  <si>
    <t>Keputusan :</t>
  </si>
  <si>
    <t>Dengan memperhatikan hasil yang dicapai pada Semester I dan II maka santri ini ditetapkan</t>
  </si>
  <si>
    <t>Naik ke Kelas</t>
  </si>
  <si>
    <t>Naik</t>
  </si>
  <si>
    <t>Tinggal di Kelas</t>
  </si>
  <si>
    <t>Tinggal</t>
  </si>
  <si>
    <t>KETERANGAN PINDAH MADRASAH</t>
  </si>
  <si>
    <t>Kelas yang Ditinggalkan</t>
  </si>
  <si>
    <t>Alasan</t>
  </si>
  <si>
    <t>Tanda Tangan Kepala Madrasah, Stempel madrasah dan Tanda Tangan Orang Tua/Wali</t>
  </si>
  <si>
    <t>…………., …………………………………….</t>
  </si>
  <si>
    <t>Kepala Madrasah</t>
  </si>
  <si>
    <t>Orang Tua/Wali</t>
  </si>
  <si>
    <t>____________________________</t>
  </si>
  <si>
    <t>MASUK</t>
  </si>
  <si>
    <t>Nama Madrasah Asal</t>
  </si>
  <si>
    <t>Alamat Madrasah Asal</t>
  </si>
  <si>
    <t>Masuk di Madrasah ini :</t>
  </si>
  <si>
    <t>a. Tanggal</t>
  </si>
  <si>
    <t>b. Di Kelas</t>
  </si>
  <si>
    <t>c. Tahun Pelajaran</t>
  </si>
  <si>
    <t>………………., …………………………………..</t>
  </si>
  <si>
    <t>Wali Kelas</t>
  </si>
  <si>
    <t>…………………………………………………..</t>
  </si>
  <si>
    <t>………………………………………………</t>
  </si>
  <si>
    <t>PETUNJUK RINGKAS</t>
  </si>
  <si>
    <t>Terlebih dahulu isi data pada sheet Identitas. Isilah Data madrasah maupun santri pada cell yang berwarna putih.</t>
  </si>
  <si>
    <t>Jika untuk kelas 2 sampai kelas 4 biodata santri bisa hanya mengisi Nomor urut, nomor induk dan nama santri saja, karena saat kelas 1 sudah ada biodatanya.</t>
  </si>
  <si>
    <t>Keterangan Wali (Nama, Alamat, Pekerjaan) jika tidak ada, diisi dengan tanda strip (-)</t>
  </si>
  <si>
    <t>Mata pelajaran diisi sesuai yang akan ditampilkan di raport, karena otomatis akan nge-link ke sheet Nilai dan Raport</t>
  </si>
  <si>
    <t xml:space="preserve">2. </t>
  </si>
  <si>
    <t>Sheet Cover sudah otomatis, silakan cetak sesuai nomor urut santri. Logo disesuaikan bisa diganti. Jika nomor urut yang dipilih tidak sesuai panah spin boleh ketik nomornya.</t>
  </si>
  <si>
    <t xml:space="preserve">3. </t>
  </si>
  <si>
    <t>Sheet Biodata setelah dicetak, ditempel foto santri dan stempel serta tanda tangan Kepala Madrasah.</t>
  </si>
  <si>
    <t>Sheet Nilai isi bagian nilai yang berwarna putih saja. Isi puluhan, misalnya 76 85 90 dan sebagainya. Jumlah, Rata-rata dan lainnya yang warna hijau sudah otomatis.</t>
  </si>
  <si>
    <r>
      <rPr>
        <sz val="11"/>
        <color theme="1"/>
        <rFont val="Calibri"/>
        <family val="2"/>
      </rPr>
      <t xml:space="preserve">Pada kolom akhir diisi  </t>
    </r>
    <r>
      <rPr>
        <b/>
        <sz val="11"/>
        <color theme="1"/>
        <rFont val="Calibri"/>
        <family val="2"/>
      </rPr>
      <t>Naik ke kelas atau tinggal di kelas</t>
    </r>
    <r>
      <rPr>
        <sz val="11"/>
        <color theme="1"/>
        <rFont val="Calibri"/>
        <family val="2"/>
      </rPr>
      <t xml:space="preserve"> , dengan angka biasa yaitu 1,2,3 dan 4 dipakai untuk semester 2 / genap.</t>
    </r>
  </si>
  <si>
    <r>
      <rPr>
        <sz val="11"/>
        <color theme="1"/>
        <rFont val="Calibri"/>
        <family val="2"/>
      </rPr>
      <t xml:space="preserve">Khusus kelas 4 semester 2 yang lulus isi bagian kolom Naik Ke dengan angka </t>
    </r>
    <r>
      <rPr>
        <b/>
        <sz val="11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 atau </t>
    </r>
    <r>
      <rPr>
        <b/>
        <sz val="11"/>
        <color theme="1"/>
        <rFont val="Calibri"/>
        <family val="2"/>
      </rPr>
      <t>LULUS</t>
    </r>
    <r>
      <rPr>
        <sz val="11"/>
        <color theme="1"/>
        <rFont val="Calibri"/>
        <family val="2"/>
      </rPr>
      <t>.</t>
    </r>
  </si>
  <si>
    <t>Pada sheet Pribadi Absen Catatan, disi bagian yang warna putih saja. Jika tidak ada bagian ketidakhadiran diisi angka nol.</t>
  </si>
  <si>
    <t>Catatan diisi sesuai kondisi setiap santri, ranking ditampilkan untuk bahan pertimbangan.</t>
  </si>
  <si>
    <r>
      <rPr>
        <sz val="11"/>
        <color theme="1"/>
        <rFont val="Calibri"/>
        <family val="2"/>
      </rPr>
      <t xml:space="preserve">Raport yang dicetak sesuai semesternya. Jika Semester 1 atau ganjil cetak di </t>
    </r>
    <r>
      <rPr>
        <b/>
        <sz val="11"/>
        <color theme="1"/>
        <rFont val="Calibri"/>
        <family val="2"/>
      </rPr>
      <t>Sheet Raport Ganjil</t>
    </r>
    <r>
      <rPr>
        <sz val="11"/>
        <color theme="1"/>
        <rFont val="Calibri"/>
        <family val="2"/>
      </rPr>
      <t xml:space="preserve">, Jika semester 2 cetak dari </t>
    </r>
    <r>
      <rPr>
        <b/>
        <sz val="11"/>
        <color theme="1"/>
        <rFont val="Calibri"/>
        <family val="2"/>
      </rPr>
      <t>sheet Raport Genap</t>
    </r>
    <r>
      <rPr>
        <sz val="11"/>
        <color theme="1"/>
        <rFont val="Calibri"/>
        <family val="2"/>
      </rPr>
      <t>.</t>
    </r>
  </si>
  <si>
    <t xml:space="preserve">7. </t>
  </si>
  <si>
    <t>Sheet Mutasi disediakan jika santri Lulus, atau pindah ke madrasah lain maupun santri yang baru masuk pindahan dari madrasah lain.</t>
  </si>
  <si>
    <t>Jika aplikasi ini tidak berfungsi di excel Anda karena rumus/ fungsi pembatas saya pakai titik koma (;) windows Anda bisa disesuaikan dengan cara :</t>
  </si>
  <si>
    <r>
      <rPr>
        <b/>
        <sz val="11"/>
        <color theme="1"/>
        <rFont val="Calibri"/>
        <family val="2"/>
      </rPr>
      <t>Ubah pengaturan regional di Windows</t>
    </r>
    <r>
      <rPr>
        <sz val="11"/>
        <color theme="1"/>
        <rFont val="Calibri"/>
        <family val="2"/>
      </rPr>
      <t>:
Buka Control Panel → Clock and Region → Region.
Klik tab Additional settings....
Di bagian List separator, ubah jadi titik koma ( ; ).
Klik OK dan restart Excel.</t>
    </r>
  </si>
  <si>
    <t>File ini beberapa sheet dikunci tapi tanpa password/sandi semata-mata hanya menjaga cell yang berisi rumus agar tidak rusak. Untuk membuka protek :</t>
  </si>
  <si>
    <t>pada menu Home klik Format, pilih Unprotect</t>
  </si>
  <si>
    <t>Sheet Index</t>
  </si>
  <si>
    <t>IDENTITAS</t>
  </si>
  <si>
    <t>COVER</t>
  </si>
  <si>
    <t>BIODATA</t>
  </si>
  <si>
    <t>NILAI</t>
  </si>
  <si>
    <t>PRIBADI, ABSEN, CATATAN</t>
  </si>
  <si>
    <t>RAPORT GANJIL</t>
  </si>
  <si>
    <t>RAPORT GENAP</t>
  </si>
  <si>
    <t>MUTASI</t>
  </si>
  <si>
    <t>'PETUNJUK'!A1</t>
  </si>
  <si>
    <t>Selamat atas prestasimu! Teruslah bersungguh-sungguh dalam belajar, karena menuntut ilmu adalah jalan menuju ridha Allah dan kunci kebahagiaan dunia akhirat.</t>
  </si>
  <si>
    <t>Jika dibuka awal ada peringatan Macro klik ENABLE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</si>
</sst>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@* &quot;:&quot;"/>
  </numFmts>
  <fonts count="3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i/>
      <sz val="8"/>
      <color theme="1"/>
      <name val="Calibri"/>
      <family val="2"/>
    </font>
    <font>
      <sz val="18"/>
      <color theme="1"/>
      <name val="ChunkFive Roman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20"/>
      <color theme="1"/>
      <name val="Corben"/>
    </font>
    <font>
      <b/>
      <sz val="18"/>
      <color theme="1"/>
      <name val="Arial"/>
      <family val="2"/>
    </font>
    <font>
      <b/>
      <u/>
      <sz val="12"/>
      <color theme="1"/>
      <name val="Calibri"/>
      <family val="2"/>
    </font>
    <font>
      <b/>
      <sz val="14"/>
      <color theme="1"/>
      <name val="Bookman Old Style"/>
      <family val="1"/>
    </font>
    <font>
      <u/>
      <sz val="11"/>
      <color theme="10"/>
      <name val="Calibri"/>
      <family val="2"/>
    </font>
    <font>
      <b/>
      <sz val="18"/>
      <color theme="1"/>
      <name val="Calibri"/>
      <family val="2"/>
    </font>
    <font>
      <sz val="11"/>
      <color theme="1"/>
      <name val="Arial"/>
      <family val="2"/>
    </font>
    <font>
      <b/>
      <u/>
      <sz val="11"/>
      <color theme="1"/>
      <name val="Calibri"/>
      <family val="2"/>
    </font>
    <font>
      <sz val="10"/>
      <color theme="1"/>
      <name val="Book Antiqua"/>
      <family val="1"/>
    </font>
    <font>
      <b/>
      <sz val="14"/>
      <color theme="1"/>
      <name val="Book Antiqua"/>
      <family val="1"/>
    </font>
    <font>
      <b/>
      <sz val="11"/>
      <color theme="1"/>
      <name val="Book Antiqua"/>
      <family val="1"/>
    </font>
    <font>
      <b/>
      <sz val="10"/>
      <color theme="1"/>
      <name val="Book Antiqua"/>
      <family val="1"/>
    </font>
    <font>
      <u/>
      <sz val="10"/>
      <color theme="1"/>
      <name val="Book Antiqua"/>
      <family val="1"/>
    </font>
    <font>
      <b/>
      <u/>
      <sz val="10"/>
      <color theme="1"/>
      <name val="Book Antiqua"/>
      <family val="1"/>
    </font>
    <font>
      <b/>
      <u/>
      <sz val="11"/>
      <color rgb="FF1A0FF1"/>
      <name val="Arial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20"/>
      <color theme="1"/>
      <name val="Britannic Bold"/>
      <family val="2"/>
    </font>
    <font>
      <sz val="11"/>
      <color theme="1"/>
      <name val="Britannic Bold"/>
      <family val="2"/>
    </font>
    <font>
      <sz val="20"/>
      <color theme="1"/>
      <name val="Cooper Black"/>
      <family val="1"/>
    </font>
    <font>
      <sz val="1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00B0F0"/>
      </patternFill>
    </fill>
    <fill>
      <patternFill patternType="solid">
        <fgColor rgb="FFF7CAAC"/>
        <bgColor rgb="FFF7CAAC"/>
      </patternFill>
    </fill>
    <fill>
      <patternFill patternType="solid">
        <fgColor rgb="FFFFC000"/>
        <bgColor rgb="FFFFC000"/>
      </patternFill>
    </fill>
    <fill>
      <patternFill patternType="solid">
        <fgColor rgb="FFF4B083"/>
        <bgColor rgb="FFF4B083"/>
      </patternFill>
    </fill>
    <fill>
      <patternFill patternType="solid">
        <fgColor rgb="FFA8D08D"/>
        <bgColor rgb="FFA8D08D"/>
      </patternFill>
    </fill>
    <fill>
      <patternFill patternType="solid">
        <fgColor rgb="FFC5E0B3"/>
        <bgColor rgb="FFC5E0B3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4" fillId="0" borderId="0" xfId="0" applyFont="1" applyAlignment="1">
      <alignment horizontal="center"/>
    </xf>
    <xf numFmtId="0" fontId="6" fillId="0" borderId="7" xfId="0" applyFont="1" applyBorder="1"/>
    <xf numFmtId="0" fontId="6" fillId="3" borderId="7" xfId="0" applyFont="1" applyFill="1" applyBorder="1" applyAlignment="1">
      <alignment horizontal="center"/>
    </xf>
    <xf numFmtId="0" fontId="6" fillId="0" borderId="0" xfId="0" applyFont="1"/>
    <xf numFmtId="49" fontId="6" fillId="0" borderId="7" xfId="0" quotePrefix="1" applyNumberFormat="1" applyFont="1" applyBorder="1"/>
    <xf numFmtId="0" fontId="8" fillId="0" borderId="0" xfId="0" applyFont="1"/>
    <xf numFmtId="0" fontId="6" fillId="0" borderId="0" xfId="0" applyFont="1" applyAlignment="1">
      <alignment horizontal="center"/>
    </xf>
    <xf numFmtId="49" fontId="6" fillId="0" borderId="7" xfId="0" applyNumberFormat="1" applyFont="1" applyBorder="1"/>
    <xf numFmtId="49" fontId="6" fillId="0" borderId="0" xfId="0" applyNumberFormat="1" applyFont="1"/>
    <xf numFmtId="0" fontId="9" fillId="0" borderId="0" xfId="0" applyFont="1" applyAlignment="1">
      <alignment horizontal="center"/>
    </xf>
    <xf numFmtId="0" fontId="10" fillId="0" borderId="7" xfId="0" applyFont="1" applyBorder="1"/>
    <xf numFmtId="0" fontId="11" fillId="6" borderId="7" xfId="0" applyFont="1" applyFill="1" applyBorder="1" applyAlignment="1">
      <alignment horizontal="center" vertical="center"/>
    </xf>
    <xf numFmtId="49" fontId="11" fillId="6" borderId="7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/>
    </xf>
    <xf numFmtId="49" fontId="9" fillId="3" borderId="7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3" borderId="7" xfId="0" applyFont="1" applyFill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center"/>
    </xf>
    <xf numFmtId="0" fontId="15" fillId="0" borderId="0" xfId="0" applyFont="1"/>
    <xf numFmtId="0" fontId="2" fillId="6" borderId="7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49" fontId="10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49" fontId="18" fillId="0" borderId="0" xfId="0" applyNumberFormat="1" applyFont="1"/>
    <xf numFmtId="0" fontId="9" fillId="4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  <xf numFmtId="0" fontId="9" fillId="8" borderId="7" xfId="0" applyFont="1" applyFill="1" applyBorder="1" applyAlignment="1">
      <alignment horizontal="left"/>
    </xf>
    <xf numFmtId="0" fontId="6" fillId="9" borderId="7" xfId="0" applyFont="1" applyFill="1" applyBorder="1" applyAlignment="1">
      <alignment horizontal="center"/>
    </xf>
    <xf numFmtId="0" fontId="6" fillId="9" borderId="7" xfId="0" applyFont="1" applyFill="1" applyBorder="1"/>
    <xf numFmtId="0" fontId="6" fillId="8" borderId="7" xfId="0" applyFont="1" applyFill="1" applyBorder="1" applyAlignment="1">
      <alignment horizontal="center"/>
    </xf>
    <xf numFmtId="3" fontId="6" fillId="2" borderId="7" xfId="0" applyNumberFormat="1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2" fontId="6" fillId="0" borderId="7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23" xfId="0" applyFont="1" applyBorder="1"/>
    <xf numFmtId="2" fontId="6" fillId="0" borderId="7" xfId="0" applyNumberFormat="1" applyFont="1" applyBorder="1"/>
    <xf numFmtId="3" fontId="6" fillId="0" borderId="7" xfId="0" applyNumberFormat="1" applyFont="1" applyBorder="1" applyAlignment="1">
      <alignment horizontal="center"/>
    </xf>
    <xf numFmtId="0" fontId="6" fillId="6" borderId="30" xfId="0" applyFont="1" applyFill="1" applyBorder="1"/>
    <xf numFmtId="0" fontId="6" fillId="0" borderId="29" xfId="0" applyFont="1" applyBorder="1"/>
    <xf numFmtId="0" fontId="6" fillId="0" borderId="23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6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24" fillId="10" borderId="30" xfId="0" applyFont="1" applyFill="1" applyBorder="1"/>
    <xf numFmtId="49" fontId="25" fillId="10" borderId="30" xfId="0" applyNumberFormat="1" applyFont="1" applyFill="1" applyBorder="1" applyAlignment="1">
      <alignment horizontal="center"/>
    </xf>
    <xf numFmtId="49" fontId="24" fillId="10" borderId="30" xfId="0" applyNumberFormat="1" applyFont="1" applyFill="1" applyBorder="1"/>
    <xf numFmtId="0" fontId="26" fillId="10" borderId="30" xfId="0" applyFont="1" applyFill="1" applyBorder="1"/>
    <xf numFmtId="0" fontId="24" fillId="0" borderId="0" xfId="0" applyFont="1"/>
    <xf numFmtId="0" fontId="27" fillId="10" borderId="30" xfId="0" applyFont="1" applyFill="1" applyBorder="1"/>
    <xf numFmtId="49" fontId="26" fillId="10" borderId="7" xfId="0" applyNumberFormat="1" applyFont="1" applyFill="1" applyBorder="1" applyAlignment="1">
      <alignment horizontal="center" vertical="center" wrapText="1"/>
    </xf>
    <xf numFmtId="0" fontId="4" fillId="6" borderId="30" xfId="0" applyFont="1" applyFill="1" applyBorder="1" applyAlignment="1">
      <alignment horizontal="center" vertical="center"/>
    </xf>
    <xf numFmtId="49" fontId="24" fillId="10" borderId="33" xfId="0" applyNumberFormat="1" applyFont="1" applyFill="1" applyBorder="1"/>
    <xf numFmtId="49" fontId="24" fillId="10" borderId="35" xfId="0" applyNumberFormat="1" applyFont="1" applyFill="1" applyBorder="1" applyAlignment="1">
      <alignment horizontal="center"/>
    </xf>
    <xf numFmtId="49" fontId="24" fillId="10" borderId="35" xfId="0" applyNumberFormat="1" applyFont="1" applyFill="1" applyBorder="1"/>
    <xf numFmtId="49" fontId="28" fillId="10" borderId="35" xfId="0" applyNumberFormat="1" applyFont="1" applyFill="1" applyBorder="1"/>
    <xf numFmtId="49" fontId="24" fillId="10" borderId="36" xfId="0" applyNumberFormat="1" applyFont="1" applyFill="1" applyBorder="1"/>
    <xf numFmtId="49" fontId="26" fillId="10" borderId="7" xfId="0" applyNumberFormat="1" applyFont="1" applyFill="1" applyBorder="1" applyAlignment="1">
      <alignment horizontal="center" vertical="center"/>
    </xf>
    <xf numFmtId="49" fontId="24" fillId="10" borderId="37" xfId="0" applyNumberFormat="1" applyFont="1" applyFill="1" applyBorder="1"/>
    <xf numFmtId="0" fontId="24" fillId="10" borderId="38" xfId="0" applyFont="1" applyFill="1" applyBorder="1"/>
    <xf numFmtId="0" fontId="24" fillId="10" borderId="39" xfId="0" applyFont="1" applyFill="1" applyBorder="1" applyAlignment="1">
      <alignment horizontal="left"/>
    </xf>
    <xf numFmtId="49" fontId="24" fillId="10" borderId="30" xfId="0" applyNumberFormat="1" applyFont="1" applyFill="1" applyBorder="1" applyAlignment="1">
      <alignment horizontal="left"/>
    </xf>
    <xf numFmtId="0" fontId="24" fillId="10" borderId="39" xfId="0" applyFont="1" applyFill="1" applyBorder="1"/>
    <xf numFmtId="0" fontId="24" fillId="10" borderId="35" xfId="0" applyFont="1" applyFill="1" applyBorder="1"/>
    <xf numFmtId="49" fontId="29" fillId="10" borderId="35" xfId="0" applyNumberFormat="1" applyFont="1" applyFill="1" applyBorder="1"/>
    <xf numFmtId="49" fontId="24" fillId="10" borderId="36" xfId="0" applyNumberFormat="1" applyFont="1" applyFill="1" applyBorder="1" applyAlignment="1">
      <alignment horizontal="center"/>
    </xf>
    <xf numFmtId="49" fontId="24" fillId="10" borderId="40" xfId="0" applyNumberFormat="1" applyFont="1" applyFill="1" applyBorder="1"/>
    <xf numFmtId="49" fontId="24" fillId="10" borderId="33" xfId="0" applyNumberFormat="1" applyFont="1" applyFill="1" applyBorder="1" applyAlignment="1">
      <alignment horizontal="center"/>
    </xf>
    <xf numFmtId="49" fontId="24" fillId="10" borderId="38" xfId="0" applyNumberFormat="1" applyFont="1" applyFill="1" applyBorder="1"/>
    <xf numFmtId="49" fontId="24" fillId="10" borderId="39" xfId="0" applyNumberFormat="1" applyFont="1" applyFill="1" applyBorder="1"/>
    <xf numFmtId="49" fontId="24" fillId="10" borderId="30" xfId="0" applyNumberFormat="1" applyFont="1" applyFill="1" applyBorder="1" applyAlignment="1">
      <alignment horizontal="center"/>
    </xf>
    <xf numFmtId="49" fontId="6" fillId="3" borderId="41" xfId="0" applyNumberFormat="1" applyFont="1" applyFill="1" applyBorder="1"/>
    <xf numFmtId="49" fontId="6" fillId="3" borderId="42" xfId="0" applyNumberFormat="1" applyFont="1" applyFill="1" applyBorder="1"/>
    <xf numFmtId="0" fontId="6" fillId="3" borderId="30" xfId="0" applyFont="1" applyFill="1" applyBorder="1"/>
    <xf numFmtId="0" fontId="6" fillId="3" borderId="43" xfId="0" applyFont="1" applyFill="1" applyBorder="1"/>
    <xf numFmtId="49" fontId="6" fillId="3" borderId="44" xfId="0" applyNumberFormat="1" applyFont="1" applyFill="1" applyBorder="1"/>
    <xf numFmtId="49" fontId="6" fillId="3" borderId="30" xfId="0" applyNumberFormat="1" applyFont="1" applyFill="1" applyBorder="1"/>
    <xf numFmtId="49" fontId="6" fillId="3" borderId="0" xfId="0" applyNumberFormat="1" applyFont="1" applyFill="1"/>
    <xf numFmtId="0" fontId="15" fillId="3" borderId="0" xfId="0" applyFont="1" applyFill="1"/>
    <xf numFmtId="49" fontId="30" fillId="6" borderId="7" xfId="0" applyNumberFormat="1" applyFont="1" applyFill="1" applyBorder="1" applyAlignment="1">
      <alignment horizontal="center" vertical="center"/>
    </xf>
    <xf numFmtId="0" fontId="32" fillId="0" borderId="0" xfId="0" applyFont="1"/>
    <xf numFmtId="0" fontId="1" fillId="11" borderId="0" xfId="0" applyFont="1" applyFill="1"/>
    <xf numFmtId="0" fontId="0" fillId="11" borderId="0" xfId="0" applyFill="1"/>
    <xf numFmtId="0" fontId="6" fillId="3" borderId="1" xfId="0" applyFont="1" applyFill="1" applyBorder="1"/>
    <xf numFmtId="0" fontId="3" fillId="0" borderId="3" xfId="0" applyFont="1" applyBorder="1"/>
    <xf numFmtId="0" fontId="9" fillId="3" borderId="1" xfId="0" applyFont="1" applyFill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0" fontId="3" fillId="0" borderId="11" xfId="0" applyFont="1" applyBorder="1"/>
    <xf numFmtId="0" fontId="3" fillId="0" borderId="15" xfId="0" applyFont="1" applyBorder="1"/>
    <xf numFmtId="0" fontId="2" fillId="2" borderId="1" xfId="0" applyFont="1" applyFill="1" applyBorder="1" applyAlignment="1">
      <alignment horizontal="center"/>
    </xf>
    <xf numFmtId="0" fontId="3" fillId="0" borderId="2" xfId="0" applyFont="1" applyBorder="1"/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0" fontId="5" fillId="3" borderId="1" xfId="0" applyFont="1" applyFill="1" applyBorder="1" applyAlignment="1">
      <alignment vertical="center" wrapText="1"/>
    </xf>
    <xf numFmtId="49" fontId="6" fillId="4" borderId="8" xfId="0" applyNumberFormat="1" applyFont="1" applyFill="1" applyBorder="1" applyAlignment="1">
      <alignment horizontal="left" vertical="center"/>
    </xf>
    <xf numFmtId="0" fontId="6" fillId="3" borderId="9" xfId="0" applyFont="1" applyFill="1" applyBorder="1" applyAlignment="1">
      <alignment horizontal="center"/>
    </xf>
    <xf numFmtId="0" fontId="3" fillId="0" borderId="10" xfId="0" applyFont="1" applyBorder="1"/>
    <xf numFmtId="0" fontId="7" fillId="3" borderId="12" xfId="0" applyFont="1" applyFill="1" applyBorder="1" applyAlignment="1">
      <alignment horizontal="center"/>
    </xf>
    <xf numFmtId="0" fontId="3" fillId="0" borderId="13" xfId="0" applyFont="1" applyBorder="1"/>
    <xf numFmtId="0" fontId="6" fillId="2" borderId="14" xfId="0" applyFont="1" applyFill="1" applyBorder="1" applyAlignment="1">
      <alignment horizontal="center"/>
    </xf>
    <xf numFmtId="0" fontId="13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5" fillId="0" borderId="0" xfId="0" applyFont="1"/>
    <xf numFmtId="0" fontId="33" fillId="0" borderId="0" xfId="0" applyFont="1" applyAlignment="1">
      <alignment horizontal="center"/>
    </xf>
    <xf numFmtId="0" fontId="34" fillId="0" borderId="0" xfId="0" applyFont="1"/>
    <xf numFmtId="49" fontId="13" fillId="0" borderId="0" xfId="0" applyNumberFormat="1" applyFont="1"/>
    <xf numFmtId="0" fontId="2" fillId="0" borderId="0" xfId="0" applyFont="1" applyAlignment="1">
      <alignment horizontal="center"/>
    </xf>
    <xf numFmtId="0" fontId="36" fillId="6" borderId="16" xfId="0" applyFont="1" applyFill="1" applyBorder="1" applyAlignment="1">
      <alignment horizontal="center" vertical="center"/>
    </xf>
    <xf numFmtId="0" fontId="3" fillId="0" borderId="17" xfId="0" applyFont="1" applyBorder="1"/>
    <xf numFmtId="0" fontId="3" fillId="0" borderId="18" xfId="0" applyFont="1" applyBorder="1"/>
    <xf numFmtId="0" fontId="9" fillId="3" borderId="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6" fillId="0" borderId="1" xfId="0" applyFont="1" applyBorder="1"/>
    <xf numFmtId="0" fontId="6" fillId="0" borderId="27" xfId="0" applyFont="1" applyBorder="1" applyAlignment="1">
      <alignment horizontal="left" vertical="center" wrapText="1"/>
    </xf>
    <xf numFmtId="0" fontId="3" fillId="0" borderId="27" xfId="0" applyFont="1" applyBorder="1"/>
    <xf numFmtId="0" fontId="3" fillId="0" borderId="28" xfId="0" applyFont="1" applyBorder="1"/>
    <xf numFmtId="49" fontId="23" fillId="0" borderId="0" xfId="0" applyNumberFormat="1" applyFont="1" applyAlignment="1">
      <alignment horizontal="center"/>
    </xf>
    <xf numFmtId="0" fontId="6" fillId="0" borderId="23" xfId="0" applyFont="1" applyBorder="1" applyAlignment="1">
      <alignment horizontal="center" vertical="center"/>
    </xf>
    <xf numFmtId="0" fontId="3" fillId="0" borderId="24" xfId="0" applyFont="1" applyBorder="1"/>
    <xf numFmtId="0" fontId="3" fillId="0" borderId="25" xfId="0" applyFont="1" applyBorder="1"/>
    <xf numFmtId="0" fontId="3" fillId="0" borderId="29" xfId="0" applyFont="1" applyBorder="1"/>
    <xf numFmtId="0" fontId="3" fillId="0" borderId="31" xfId="0" applyFont="1" applyBorder="1"/>
    <xf numFmtId="0" fontId="3" fillId="0" borderId="26" xfId="0" applyFont="1" applyBorder="1"/>
    <xf numFmtId="16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29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6" fillId="3" borderId="19" xfId="0" applyFont="1" applyFill="1" applyBorder="1" applyAlignment="1">
      <alignment horizontal="center"/>
    </xf>
    <xf numFmtId="0" fontId="3" fillId="0" borderId="20" xfId="0" applyFont="1" applyBorder="1"/>
    <xf numFmtId="0" fontId="20" fillId="3" borderId="21" xfId="0" applyFont="1" applyFill="1" applyBorder="1" applyAlignment="1">
      <alignment horizontal="center"/>
    </xf>
    <xf numFmtId="0" fontId="3" fillId="0" borderId="22" xfId="0" applyFont="1" applyBorder="1"/>
    <xf numFmtId="0" fontId="6" fillId="2" borderId="21" xfId="0" applyFont="1" applyFill="1" applyBorder="1" applyAlignment="1">
      <alignment horizontal="center"/>
    </xf>
    <xf numFmtId="0" fontId="21" fillId="6" borderId="16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6" fillId="0" borderId="2" xfId="0" applyFont="1" applyBorder="1"/>
    <xf numFmtId="49" fontId="25" fillId="10" borderId="32" xfId="0" applyNumberFormat="1" applyFont="1" applyFill="1" applyBorder="1" applyAlignment="1">
      <alignment horizontal="center"/>
    </xf>
    <xf numFmtId="49" fontId="26" fillId="10" borderId="1" xfId="0" applyNumberFormat="1" applyFont="1" applyFill="1" applyBorder="1" applyAlignment="1">
      <alignment horizontal="center" vertical="center" wrapText="1"/>
    </xf>
    <xf numFmtId="49" fontId="24" fillId="10" borderId="19" xfId="0" applyNumberFormat="1" applyFont="1" applyFill="1" applyBorder="1" applyAlignment="1">
      <alignment horizontal="center"/>
    </xf>
    <xf numFmtId="49" fontId="24" fillId="10" borderId="4" xfId="0" applyNumberFormat="1" applyFont="1" applyFill="1" applyBorder="1" applyAlignment="1">
      <alignment horizontal="center"/>
    </xf>
    <xf numFmtId="0" fontId="3" fillId="0" borderId="34" xfId="0" applyFont="1" applyBorder="1"/>
    <xf numFmtId="49" fontId="24" fillId="10" borderId="21" xfId="0" applyNumberFormat="1" applyFont="1" applyFill="1" applyBorder="1" applyAlignment="1">
      <alignment horizontal="center"/>
    </xf>
    <xf numFmtId="49" fontId="24" fillId="10" borderId="32" xfId="0" applyNumberFormat="1" applyFont="1" applyFill="1" applyBorder="1" applyAlignment="1">
      <alignment horizontal="left"/>
    </xf>
    <xf numFmtId="49" fontId="24" fillId="10" borderId="32" xfId="0" applyNumberFormat="1" applyFont="1" applyFill="1" applyBorder="1" applyAlignment="1">
      <alignment horizontal="center"/>
    </xf>
    <xf numFmtId="49" fontId="26" fillId="10" borderId="1" xfId="0" applyNumberFormat="1" applyFont="1" applyFill="1" applyBorder="1" applyAlignment="1">
      <alignment horizontal="center" vertical="center"/>
    </xf>
    <xf numFmtId="49" fontId="21" fillId="4" borderId="1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6" fillId="3" borderId="32" xfId="0" applyFont="1" applyFill="1" applyBorder="1"/>
    <xf numFmtId="0" fontId="6" fillId="3" borderId="12" xfId="0" applyFont="1" applyFill="1" applyBorder="1" applyAlignment="1">
      <alignment wrapText="1"/>
    </xf>
    <xf numFmtId="0" fontId="14" fillId="3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2" fmlaLink="$J$7" max="100" min="1" page="1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2" fmlaLink="$J$7" max="100" min="1" page="10" val="3"/>
</file>

<file path=xl/ctrlProps/ctrlProp11.xml><?xml version="1.0" encoding="utf-8"?>
<formControlPr xmlns="http://schemas.microsoft.com/office/spreadsheetml/2009/9/main" objectType="Spin" dx="22" fmlaLink="$G$7" max="100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DAFTAR SHEET'!A1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#'DAFTAR SHEET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609600</xdr:colOff>
      <xdr:row>4</xdr:row>
      <xdr:rowOff>152400</xdr:rowOff>
    </xdr:from>
    <xdr:ext cx="619125" cy="56197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1724025</xdr:colOff>
      <xdr:row>1</xdr:row>
      <xdr:rowOff>123825</xdr:rowOff>
    </xdr:from>
    <xdr:ext cx="1571625" cy="1600200"/>
    <xdr:pic>
      <xdr:nvPicPr>
        <xdr:cNvPr id="2" name="image2.jp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0</xdr:colOff>
      <xdr:row>32</xdr:row>
      <xdr:rowOff>0</xdr:rowOff>
    </xdr:from>
    <xdr:ext cx="581025" cy="581025"/>
    <xdr:pic>
      <xdr:nvPicPr>
        <xdr:cNvPr id="3" name="image1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</xdr:colOff>
          <xdr:row>31</xdr:row>
          <xdr:rowOff>76200</xdr:rowOff>
        </xdr:from>
        <xdr:to>
          <xdr:col>10</xdr:col>
          <xdr:colOff>485775</xdr:colOff>
          <xdr:row>32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 Masal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</xdr:colOff>
          <xdr:row>32</xdr:row>
          <xdr:rowOff>276225</xdr:rowOff>
        </xdr:from>
        <xdr:to>
          <xdr:col>10</xdr:col>
          <xdr:colOff>495300</xdr:colOff>
          <xdr:row>32</xdr:row>
          <xdr:rowOff>600075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Cetak Masal ke Printer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152400</xdr:colOff>
      <xdr:row>34</xdr:row>
      <xdr:rowOff>19050</xdr:rowOff>
    </xdr:from>
    <xdr:ext cx="533400" cy="5905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5084063" y="3489488"/>
          <a:ext cx="523875" cy="581025"/>
        </a:xfrm>
        <a:prstGeom prst="rect">
          <a:avLst/>
        </a:prstGeom>
        <a:noFill/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FOTO</a:t>
          </a:r>
          <a:endParaRPr sz="1400"/>
        </a:p>
      </xdr:txBody>
    </xdr:sp>
    <xdr:clientData fLocksWithSheet="0"/>
  </xdr:oneCellAnchor>
  <xdr:oneCellAnchor>
    <xdr:from>
      <xdr:col>11</xdr:col>
      <xdr:colOff>76200</xdr:colOff>
      <xdr:row>4</xdr:row>
      <xdr:rowOff>66675</xdr:rowOff>
    </xdr:from>
    <xdr:ext cx="590550" cy="54292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161925</xdr:colOff>
          <xdr:row>4</xdr:row>
          <xdr:rowOff>19050</xdr:rowOff>
        </xdr:from>
        <xdr:to>
          <xdr:col>15</xdr:col>
          <xdr:colOff>0</xdr:colOff>
          <xdr:row>5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 Masal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161925</xdr:colOff>
          <xdr:row>6</xdr:row>
          <xdr:rowOff>38100</xdr:rowOff>
        </xdr:from>
        <xdr:to>
          <xdr:col>16</xdr:col>
          <xdr:colOff>9525</xdr:colOff>
          <xdr:row>8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Cetak Masal ke Printer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9525</xdr:colOff>
      <xdr:row>0</xdr:row>
      <xdr:rowOff>19050</xdr:rowOff>
    </xdr:from>
    <xdr:ext cx="590550" cy="56197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66675</xdr:colOff>
      <xdr:row>0</xdr:row>
      <xdr:rowOff>0</xdr:rowOff>
    </xdr:from>
    <xdr:ext cx="590550" cy="552450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12</xdr:row>
      <xdr:rowOff>114300</xdr:rowOff>
    </xdr:from>
    <xdr:ext cx="590550" cy="56197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48500" y="2247900"/>
          <a:ext cx="590550" cy="56197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</xdr:row>
          <xdr:rowOff>0</xdr:rowOff>
        </xdr:from>
        <xdr:to>
          <xdr:col>11</xdr:col>
          <xdr:colOff>447675</xdr:colOff>
          <xdr:row>2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 Masal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3</xdr:row>
          <xdr:rowOff>19050</xdr:rowOff>
        </xdr:from>
        <xdr:to>
          <xdr:col>11</xdr:col>
          <xdr:colOff>447675</xdr:colOff>
          <xdr:row>4</xdr:row>
          <xdr:rowOff>171450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Cetak Masal ke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8</xdr:row>
          <xdr:rowOff>28575</xdr:rowOff>
        </xdr:from>
        <xdr:to>
          <xdr:col>9</xdr:col>
          <xdr:colOff>590550</xdr:colOff>
          <xdr:row>11</xdr:row>
          <xdr:rowOff>95250</xdr:rowOff>
        </xdr:to>
        <xdr:sp macro="" textlink="">
          <xdr:nvSpPr>
            <xdr:cNvPr id="7174" name="Spinner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12700</xdr:colOff>
      <xdr:row>13</xdr:row>
      <xdr:rowOff>57150</xdr:rowOff>
    </xdr:from>
    <xdr:ext cx="590550" cy="56197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73850" y="2368550"/>
          <a:ext cx="590550" cy="56197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</xdr:row>
          <xdr:rowOff>9525</xdr:rowOff>
        </xdr:from>
        <xdr:to>
          <xdr:col>11</xdr:col>
          <xdr:colOff>447675</xdr:colOff>
          <xdr:row>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 Masal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3</xdr:row>
          <xdr:rowOff>28575</xdr:rowOff>
        </xdr:from>
        <xdr:to>
          <xdr:col>11</xdr:col>
          <xdr:colOff>447675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Cetak Masal ke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28575</xdr:rowOff>
        </xdr:from>
        <xdr:to>
          <xdr:col>9</xdr:col>
          <xdr:colOff>571500</xdr:colOff>
          <xdr:row>11</xdr:row>
          <xdr:rowOff>95250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590550" cy="56197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85725</xdr:rowOff>
        </xdr:from>
        <xdr:to>
          <xdr:col>6</xdr:col>
          <xdr:colOff>561975</xdr:colOff>
          <xdr:row>5</xdr:row>
          <xdr:rowOff>161925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1</xdr:row>
      <xdr:rowOff>0</xdr:rowOff>
    </xdr:from>
    <xdr:ext cx="590550" cy="561975"/>
    <xdr:pic>
      <xdr:nvPicPr>
        <xdr:cNvPr id="2" name="image1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0</xdr:colOff>
      <xdr:row>25</xdr:row>
      <xdr:rowOff>44450</xdr:rowOff>
    </xdr:from>
    <xdr:to>
      <xdr:col>11</xdr:col>
      <xdr:colOff>143746</xdr:colOff>
      <xdr:row>59</xdr:row>
      <xdr:rowOff>134206</xdr:rowOff>
    </xdr:to>
    <xdr:pic>
      <xdr:nvPicPr>
        <xdr:cNvPr id="4" name="Gambar 3">
          <a:extLst>
            <a:ext uri="{FF2B5EF4-FFF2-40B4-BE49-F238E27FC236}">
              <a16:creationId xmlns:a16="http://schemas.microsoft.com/office/drawing/2014/main" xmlns="" id="{E7E89897-446A-F347-08EB-47BD7AB3F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5372100"/>
          <a:ext cx="6239746" cy="61349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fkdtdukuhturi.web.id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kdtdukuhturi.web.id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fkdtdukuhturi.web.id/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://www.fkdtdukuhturi.web.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1"/>
  <dimension ref="A1:Z1000"/>
  <sheetViews>
    <sheetView topLeftCell="A4" workbookViewId="0">
      <selection activeCell="C4" sqref="C4"/>
    </sheetView>
  </sheetViews>
  <sheetFormatPr defaultColWidth="14.42578125" defaultRowHeight="15" customHeight="1"/>
  <cols>
    <col min="1" max="1" width="10.140625" customWidth="1"/>
    <col min="2" max="2" width="9.85546875" customWidth="1"/>
    <col min="3" max="3" width="40.140625" customWidth="1"/>
    <col min="4" max="4" width="22.28515625" customWidth="1"/>
    <col min="5" max="5" width="4.5703125" customWidth="1"/>
    <col min="6" max="10" width="19.28515625" customWidth="1"/>
    <col min="11" max="11" width="22.140625" customWidth="1"/>
    <col min="12" max="12" width="17.7109375" customWidth="1"/>
    <col min="13" max="14" width="23" customWidth="1"/>
    <col min="15" max="15" width="27.7109375" customWidth="1"/>
    <col min="16" max="19" width="23" customWidth="1"/>
    <col min="20" max="20" width="26" customWidth="1"/>
    <col min="21" max="21" width="17.5703125" customWidth="1"/>
    <col min="22" max="26" width="8.7109375" customWidth="1"/>
  </cols>
  <sheetData>
    <row r="1" spans="1:13" ht="21">
      <c r="A1" s="104" t="s">
        <v>0</v>
      </c>
      <c r="B1" s="105"/>
      <c r="C1" s="99"/>
      <c r="E1" s="106" t="s">
        <v>1</v>
      </c>
      <c r="F1" s="107"/>
      <c r="G1" s="108"/>
      <c r="H1" s="1"/>
      <c r="I1" s="1"/>
      <c r="J1" s="1"/>
    </row>
    <row r="2" spans="1:13" ht="19.5" customHeight="1">
      <c r="A2" s="109" t="s">
        <v>2</v>
      </c>
      <c r="B2" s="99"/>
      <c r="C2" s="2" t="s">
        <v>3</v>
      </c>
      <c r="E2" s="3">
        <v>1</v>
      </c>
      <c r="F2" s="2" t="s">
        <v>4</v>
      </c>
      <c r="G2" s="110" t="s">
        <v>5</v>
      </c>
      <c r="H2" s="111" t="s">
        <v>6</v>
      </c>
      <c r="I2" s="112"/>
      <c r="L2" s="4"/>
    </row>
    <row r="3" spans="1:13" ht="14.25" customHeight="1">
      <c r="A3" s="98" t="s">
        <v>7</v>
      </c>
      <c r="B3" s="99"/>
      <c r="C3" s="5" t="s">
        <v>8</v>
      </c>
      <c r="E3" s="3">
        <v>2</v>
      </c>
      <c r="F3" s="2" t="s">
        <v>9</v>
      </c>
      <c r="G3" s="102"/>
      <c r="H3" s="113" t="s">
        <v>10</v>
      </c>
      <c r="I3" s="114"/>
      <c r="L3" s="6"/>
    </row>
    <row r="4" spans="1:13" ht="14.25" customHeight="1">
      <c r="A4" s="98" t="s">
        <v>11</v>
      </c>
      <c r="B4" s="99"/>
      <c r="C4" s="5" t="s">
        <v>12</v>
      </c>
      <c r="E4" s="3">
        <v>3</v>
      </c>
      <c r="F4" s="2" t="s">
        <v>13</v>
      </c>
      <c r="G4" s="102"/>
      <c r="H4" s="115" t="s">
        <v>14</v>
      </c>
      <c r="I4" s="99"/>
    </row>
    <row r="5" spans="1:13" ht="14.25" customHeight="1">
      <c r="A5" s="98" t="s">
        <v>15</v>
      </c>
      <c r="B5" s="99"/>
      <c r="C5" s="2" t="s">
        <v>16</v>
      </c>
      <c r="E5" s="3">
        <v>4</v>
      </c>
      <c r="F5" s="2" t="s">
        <v>17</v>
      </c>
      <c r="G5" s="102"/>
    </row>
    <row r="6" spans="1:13" ht="14.25" customHeight="1">
      <c r="A6" s="98" t="s">
        <v>18</v>
      </c>
      <c r="B6" s="99"/>
      <c r="C6" s="2" t="s">
        <v>16</v>
      </c>
      <c r="E6" s="3">
        <v>5</v>
      </c>
      <c r="F6" s="2" t="s">
        <v>19</v>
      </c>
      <c r="G6" s="102"/>
    </row>
    <row r="7" spans="1:13" ht="14.25" customHeight="1">
      <c r="A7" s="98" t="s">
        <v>20</v>
      </c>
      <c r="B7" s="99"/>
      <c r="C7" s="2" t="s">
        <v>21</v>
      </c>
      <c r="E7" s="3">
        <v>6</v>
      </c>
      <c r="F7" s="2" t="s">
        <v>22</v>
      </c>
      <c r="G7" s="102"/>
    </row>
    <row r="8" spans="1:13" ht="14.25" customHeight="1">
      <c r="A8" s="98" t="s">
        <v>23</v>
      </c>
      <c r="B8" s="99"/>
      <c r="C8" s="2" t="s">
        <v>24</v>
      </c>
      <c r="E8" s="3">
        <v>7</v>
      </c>
      <c r="F8" s="2" t="s">
        <v>25</v>
      </c>
      <c r="G8" s="102"/>
    </row>
    <row r="9" spans="1:13" ht="14.25" customHeight="1">
      <c r="B9" s="7"/>
      <c r="E9" s="3">
        <v>8</v>
      </c>
      <c r="F9" s="2" t="s">
        <v>26</v>
      </c>
      <c r="G9" s="102"/>
    </row>
    <row r="10" spans="1:13" ht="14.25" customHeight="1">
      <c r="A10" s="98" t="s">
        <v>27</v>
      </c>
      <c r="B10" s="99"/>
      <c r="C10" s="2" t="s">
        <v>28</v>
      </c>
      <c r="E10" s="3">
        <v>9</v>
      </c>
      <c r="F10" s="2" t="s">
        <v>29</v>
      </c>
      <c r="G10" s="102"/>
    </row>
    <row r="11" spans="1:13" ht="14.25" customHeight="1">
      <c r="A11" s="98" t="s">
        <v>30</v>
      </c>
      <c r="B11" s="99"/>
      <c r="C11" s="2" t="s">
        <v>31</v>
      </c>
      <c r="E11" s="3">
        <v>10</v>
      </c>
      <c r="F11" s="2"/>
      <c r="G11" s="103"/>
    </row>
    <row r="12" spans="1:13" ht="14.25" customHeight="1">
      <c r="A12" s="98" t="s">
        <v>32</v>
      </c>
      <c r="B12" s="99"/>
      <c r="C12" s="2" t="s">
        <v>33</v>
      </c>
      <c r="E12" s="3">
        <v>11</v>
      </c>
      <c r="F12" s="2" t="s">
        <v>34</v>
      </c>
      <c r="G12" s="101" t="s">
        <v>35</v>
      </c>
    </row>
    <row r="13" spans="1:13" ht="14.25" customHeight="1">
      <c r="A13" s="98" t="s">
        <v>36</v>
      </c>
      <c r="B13" s="99"/>
      <c r="C13" s="2" t="s">
        <v>37</v>
      </c>
      <c r="E13" s="3">
        <v>12</v>
      </c>
      <c r="F13" s="2" t="s">
        <v>38</v>
      </c>
      <c r="G13" s="102"/>
    </row>
    <row r="14" spans="1:13" ht="14.25" customHeight="1">
      <c r="A14" s="98" t="s">
        <v>39</v>
      </c>
      <c r="B14" s="99"/>
      <c r="C14" s="8" t="s">
        <v>40</v>
      </c>
      <c r="E14" s="3">
        <v>13</v>
      </c>
      <c r="F14" s="2" t="s">
        <v>41</v>
      </c>
      <c r="G14" s="103"/>
    </row>
    <row r="15" spans="1:13" ht="14.25" customHeight="1">
      <c r="A15" s="98" t="s">
        <v>42</v>
      </c>
      <c r="B15" s="99"/>
      <c r="C15" s="8" t="s">
        <v>43</v>
      </c>
      <c r="E15" s="7"/>
      <c r="G15" s="9"/>
      <c r="M15" s="10"/>
    </row>
    <row r="16" spans="1:13" ht="14.25" customHeight="1">
      <c r="A16" s="98" t="s">
        <v>44</v>
      </c>
      <c r="B16" s="99"/>
      <c r="C16" s="8" t="s">
        <v>45</v>
      </c>
      <c r="E16" s="7"/>
      <c r="G16" s="9"/>
    </row>
    <row r="17" spans="1:26" ht="14.25" customHeight="1">
      <c r="C17" s="9"/>
      <c r="E17" s="7"/>
      <c r="G17" s="9"/>
    </row>
    <row r="18" spans="1:26" ht="14.25" customHeight="1">
      <c r="A18" s="100" t="s">
        <v>46</v>
      </c>
      <c r="B18" s="99"/>
      <c r="C18" s="11" t="s">
        <v>47</v>
      </c>
      <c r="D18" s="104" t="s">
        <v>48</v>
      </c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99"/>
    </row>
    <row r="19" spans="1:26" ht="10.5" customHeight="1">
      <c r="A19" s="12">
        <v>1</v>
      </c>
      <c r="B19" s="12">
        <v>2</v>
      </c>
      <c r="C19" s="12">
        <v>3</v>
      </c>
      <c r="D19" s="12">
        <v>4</v>
      </c>
      <c r="E19" s="12">
        <v>5</v>
      </c>
      <c r="F19" s="12">
        <v>6</v>
      </c>
      <c r="G19" s="13">
        <v>7</v>
      </c>
      <c r="H19" s="12">
        <v>8</v>
      </c>
      <c r="I19" s="12">
        <v>9</v>
      </c>
      <c r="J19" s="12">
        <v>10</v>
      </c>
      <c r="K19" s="12">
        <v>11</v>
      </c>
      <c r="L19" s="12">
        <v>12</v>
      </c>
      <c r="M19" s="12">
        <v>13</v>
      </c>
      <c r="N19" s="12">
        <v>14</v>
      </c>
      <c r="O19" s="12">
        <v>15</v>
      </c>
      <c r="P19" s="12">
        <v>16</v>
      </c>
      <c r="Q19" s="12">
        <v>17</v>
      </c>
      <c r="R19" s="12">
        <v>18</v>
      </c>
      <c r="S19" s="12">
        <v>19</v>
      </c>
      <c r="T19" s="12">
        <v>20</v>
      </c>
      <c r="U19" s="12">
        <v>21</v>
      </c>
    </row>
    <row r="20" spans="1:26" ht="14.25" customHeight="1">
      <c r="A20" s="14" t="s">
        <v>49</v>
      </c>
      <c r="B20" s="14" t="s">
        <v>50</v>
      </c>
      <c r="C20" s="14" t="s">
        <v>51</v>
      </c>
      <c r="D20" s="14" t="s">
        <v>52</v>
      </c>
      <c r="E20" s="14" t="s">
        <v>53</v>
      </c>
      <c r="F20" s="14" t="s">
        <v>54</v>
      </c>
      <c r="G20" s="15" t="s">
        <v>55</v>
      </c>
      <c r="H20" s="14" t="s">
        <v>56</v>
      </c>
      <c r="I20" s="14" t="s">
        <v>57</v>
      </c>
      <c r="J20" s="14" t="s">
        <v>58</v>
      </c>
      <c r="K20" s="14" t="s">
        <v>59</v>
      </c>
      <c r="L20" s="14" t="s">
        <v>60</v>
      </c>
      <c r="M20" s="14" t="s">
        <v>61</v>
      </c>
      <c r="N20" s="14" t="s">
        <v>62</v>
      </c>
      <c r="O20" s="14" t="s">
        <v>63</v>
      </c>
      <c r="P20" s="14" t="s">
        <v>15</v>
      </c>
      <c r="Q20" s="14" t="s">
        <v>18</v>
      </c>
      <c r="R20" s="14" t="s">
        <v>20</v>
      </c>
      <c r="S20" s="14" t="s">
        <v>64</v>
      </c>
      <c r="T20" s="14" t="s">
        <v>65</v>
      </c>
      <c r="U20" s="14" t="s">
        <v>66</v>
      </c>
      <c r="V20" s="7"/>
      <c r="W20" s="7"/>
      <c r="X20" s="7"/>
      <c r="Y20" s="7"/>
      <c r="Z20" s="7"/>
    </row>
    <row r="21" spans="1:26" ht="14.25" customHeight="1">
      <c r="A21" s="16">
        <f t="shared" ref="A21:A120" si="0">IF(C21&lt;&gt;"",COUNTA($C$21:C21),"")</f>
        <v>1</v>
      </c>
      <c r="B21" s="17">
        <v>2345</v>
      </c>
      <c r="C21" s="2" t="s">
        <v>67</v>
      </c>
      <c r="D21" s="2" t="s">
        <v>68</v>
      </c>
      <c r="E21" s="17" t="s">
        <v>69</v>
      </c>
      <c r="F21" s="2" t="s">
        <v>70</v>
      </c>
      <c r="G21" s="8" t="s">
        <v>71</v>
      </c>
      <c r="H21" s="2" t="s">
        <v>72</v>
      </c>
      <c r="I21" s="2" t="s">
        <v>73</v>
      </c>
      <c r="J21" s="2" t="s">
        <v>74</v>
      </c>
      <c r="K21" s="2" t="s">
        <v>75</v>
      </c>
      <c r="L21" s="2" t="s">
        <v>76</v>
      </c>
      <c r="M21" s="2" t="s">
        <v>77</v>
      </c>
      <c r="N21" s="2" t="s">
        <v>78</v>
      </c>
      <c r="O21" s="2" t="s">
        <v>79</v>
      </c>
      <c r="P21" s="2" t="s">
        <v>74</v>
      </c>
      <c r="Q21" s="2" t="s">
        <v>74</v>
      </c>
      <c r="R21" s="2" t="s">
        <v>80</v>
      </c>
      <c r="S21" s="2" t="s">
        <v>81</v>
      </c>
      <c r="T21" s="2" t="s">
        <v>78</v>
      </c>
      <c r="U21" s="2" t="s">
        <v>82</v>
      </c>
    </row>
    <row r="22" spans="1:26" ht="14.25" customHeight="1">
      <c r="A22" s="16">
        <f t="shared" si="0"/>
        <v>2</v>
      </c>
      <c r="B22" s="17">
        <v>2346</v>
      </c>
      <c r="C22" s="2" t="s">
        <v>83</v>
      </c>
      <c r="D22" s="2" t="s">
        <v>84</v>
      </c>
      <c r="E22" s="17" t="s">
        <v>85</v>
      </c>
      <c r="F22" s="2" t="s">
        <v>86</v>
      </c>
      <c r="G22" s="8" t="s">
        <v>71</v>
      </c>
      <c r="H22" s="2" t="s">
        <v>72</v>
      </c>
      <c r="I22" s="2" t="s">
        <v>73</v>
      </c>
      <c r="J22" s="2" t="s">
        <v>74</v>
      </c>
      <c r="K22" s="2" t="s">
        <v>75</v>
      </c>
      <c r="L22" s="2" t="s">
        <v>76</v>
      </c>
      <c r="M22" s="2" t="s">
        <v>77</v>
      </c>
      <c r="N22" s="2" t="s">
        <v>78</v>
      </c>
      <c r="O22" s="2" t="s">
        <v>87</v>
      </c>
      <c r="P22" s="2" t="s">
        <v>82</v>
      </c>
      <c r="Q22" s="2" t="s">
        <v>74</v>
      </c>
      <c r="R22" s="2" t="s">
        <v>80</v>
      </c>
      <c r="S22" s="2" t="s">
        <v>86</v>
      </c>
      <c r="T22" s="2" t="s">
        <v>86</v>
      </c>
      <c r="U22" s="2" t="s">
        <v>86</v>
      </c>
    </row>
    <row r="23" spans="1:26" ht="14.25" customHeight="1">
      <c r="A23" s="16">
        <f t="shared" si="0"/>
        <v>3</v>
      </c>
      <c r="B23" s="17">
        <v>2347</v>
      </c>
      <c r="C23" s="2" t="s">
        <v>88</v>
      </c>
      <c r="D23" s="2" t="s">
        <v>89</v>
      </c>
      <c r="E23" s="17" t="s">
        <v>69</v>
      </c>
      <c r="F23" s="2" t="s">
        <v>86</v>
      </c>
      <c r="G23" s="8" t="s">
        <v>71</v>
      </c>
      <c r="H23" s="2" t="s">
        <v>72</v>
      </c>
      <c r="I23" s="2" t="s">
        <v>73</v>
      </c>
      <c r="J23" s="2" t="s">
        <v>74</v>
      </c>
      <c r="K23" s="2" t="s">
        <v>75</v>
      </c>
      <c r="L23" s="2" t="s">
        <v>76</v>
      </c>
      <c r="M23" s="2" t="s">
        <v>77</v>
      </c>
      <c r="N23" s="2" t="s">
        <v>78</v>
      </c>
      <c r="O23" s="2" t="s">
        <v>90</v>
      </c>
      <c r="P23" s="2" t="s">
        <v>91</v>
      </c>
      <c r="Q23" s="2" t="s">
        <v>92</v>
      </c>
      <c r="R23" s="2" t="s">
        <v>93</v>
      </c>
      <c r="S23" s="2" t="s">
        <v>86</v>
      </c>
      <c r="T23" s="2" t="s">
        <v>86</v>
      </c>
      <c r="U23" s="2" t="s">
        <v>86</v>
      </c>
    </row>
    <row r="24" spans="1:26" ht="14.25" customHeight="1">
      <c r="A24" s="16">
        <f t="shared" si="0"/>
        <v>4</v>
      </c>
      <c r="B24" s="17">
        <v>2348</v>
      </c>
      <c r="C24" s="2" t="s">
        <v>94</v>
      </c>
      <c r="D24" s="2" t="s">
        <v>95</v>
      </c>
      <c r="E24" s="17" t="s">
        <v>69</v>
      </c>
      <c r="F24" s="2" t="s">
        <v>96</v>
      </c>
      <c r="G24" s="8" t="s">
        <v>71</v>
      </c>
      <c r="H24" s="2" t="s">
        <v>72</v>
      </c>
      <c r="I24" s="2" t="s">
        <v>73</v>
      </c>
      <c r="J24" s="2" t="s">
        <v>74</v>
      </c>
      <c r="K24" s="2" t="s">
        <v>75</v>
      </c>
      <c r="L24" s="2" t="s">
        <v>76</v>
      </c>
      <c r="M24" s="2" t="s">
        <v>77</v>
      </c>
      <c r="N24" s="2" t="s">
        <v>78</v>
      </c>
      <c r="O24" s="2" t="s">
        <v>97</v>
      </c>
      <c r="P24" s="2" t="s">
        <v>98</v>
      </c>
      <c r="Q24" s="2" t="s">
        <v>99</v>
      </c>
      <c r="R24" s="2" t="s">
        <v>93</v>
      </c>
      <c r="S24" s="2" t="s">
        <v>86</v>
      </c>
      <c r="T24" s="2" t="s">
        <v>86</v>
      </c>
      <c r="U24" s="2" t="s">
        <v>86</v>
      </c>
    </row>
    <row r="25" spans="1:26" ht="14.25" customHeight="1">
      <c r="A25" s="16">
        <f t="shared" si="0"/>
        <v>5</v>
      </c>
      <c r="B25" s="17">
        <v>2349</v>
      </c>
      <c r="C25" s="2" t="s">
        <v>100</v>
      </c>
      <c r="D25" s="2" t="s">
        <v>101</v>
      </c>
      <c r="E25" s="17" t="s">
        <v>69</v>
      </c>
      <c r="F25" s="2" t="s">
        <v>70</v>
      </c>
      <c r="G25" s="8" t="s">
        <v>71</v>
      </c>
      <c r="H25" s="2" t="s">
        <v>72</v>
      </c>
      <c r="I25" s="2" t="s">
        <v>73</v>
      </c>
      <c r="J25" s="2" t="s">
        <v>74</v>
      </c>
      <c r="K25" s="2" t="s">
        <v>75</v>
      </c>
      <c r="L25" s="2" t="s">
        <v>76</v>
      </c>
      <c r="M25" s="2" t="s">
        <v>77</v>
      </c>
      <c r="N25" s="2" t="s">
        <v>78</v>
      </c>
      <c r="O25" s="2" t="s">
        <v>102</v>
      </c>
      <c r="P25" s="2" t="s">
        <v>74</v>
      </c>
      <c r="Q25" s="2" t="s">
        <v>74</v>
      </c>
      <c r="R25" s="2" t="s">
        <v>80</v>
      </c>
      <c r="S25" s="2" t="s">
        <v>86</v>
      </c>
      <c r="T25" s="2" t="s">
        <v>86</v>
      </c>
      <c r="U25" s="2" t="s">
        <v>86</v>
      </c>
    </row>
    <row r="26" spans="1:26" ht="14.25" customHeight="1">
      <c r="A26" s="16" t="str">
        <f t="shared" si="0"/>
        <v/>
      </c>
      <c r="B26" s="17"/>
      <c r="C26" s="2"/>
      <c r="D26" s="2"/>
      <c r="E26" s="17"/>
      <c r="F26" s="2"/>
      <c r="G26" s="8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6" ht="14.25" customHeight="1">
      <c r="A27" s="16" t="str">
        <f t="shared" si="0"/>
        <v/>
      </c>
      <c r="B27" s="17"/>
      <c r="C27" s="2"/>
      <c r="D27" s="2"/>
      <c r="E27" s="17"/>
      <c r="F27" s="2"/>
      <c r="G27" s="8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6" ht="14.25" customHeight="1">
      <c r="A28" s="16" t="str">
        <f t="shared" si="0"/>
        <v/>
      </c>
      <c r="B28" s="17"/>
      <c r="C28" s="2"/>
      <c r="D28" s="2"/>
      <c r="E28" s="17"/>
      <c r="F28" s="2"/>
      <c r="G28" s="8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6" ht="14.25" customHeight="1">
      <c r="A29" s="16" t="str">
        <f t="shared" si="0"/>
        <v/>
      </c>
      <c r="B29" s="17"/>
      <c r="C29" s="2"/>
      <c r="D29" s="2"/>
      <c r="E29" s="17"/>
      <c r="F29" s="2"/>
      <c r="G29" s="8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6" ht="14.25" customHeight="1">
      <c r="A30" s="16" t="str">
        <f t="shared" si="0"/>
        <v/>
      </c>
      <c r="B30" s="17"/>
      <c r="C30" s="2"/>
      <c r="D30" s="2"/>
      <c r="E30" s="17"/>
      <c r="F30" s="2"/>
      <c r="G30" s="8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6" ht="14.25" customHeight="1">
      <c r="A31" s="16" t="str">
        <f t="shared" si="0"/>
        <v/>
      </c>
      <c r="B31" s="17"/>
      <c r="C31" s="2"/>
      <c r="D31" s="2"/>
      <c r="E31" s="17"/>
      <c r="F31" s="2"/>
      <c r="G31" s="8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26" ht="14.25" customHeight="1">
      <c r="A32" s="16" t="str">
        <f t="shared" si="0"/>
        <v/>
      </c>
      <c r="B32" s="17"/>
      <c r="C32" s="2"/>
      <c r="D32" s="2"/>
      <c r="E32" s="17"/>
      <c r="F32" s="2"/>
      <c r="G32" s="8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1" ht="14.25" customHeight="1">
      <c r="A33" s="16" t="str">
        <f t="shared" si="0"/>
        <v/>
      </c>
      <c r="B33" s="17"/>
      <c r="C33" s="2"/>
      <c r="D33" s="2"/>
      <c r="E33" s="17"/>
      <c r="F33" s="2"/>
      <c r="G33" s="8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1" ht="14.25" customHeight="1">
      <c r="A34" s="16" t="str">
        <f t="shared" si="0"/>
        <v/>
      </c>
      <c r="B34" s="17"/>
      <c r="C34" s="2"/>
      <c r="D34" s="2"/>
      <c r="E34" s="17"/>
      <c r="F34" s="2"/>
      <c r="G34" s="8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1" ht="14.25" customHeight="1">
      <c r="A35" s="16" t="str">
        <f t="shared" si="0"/>
        <v/>
      </c>
      <c r="B35" s="17"/>
      <c r="C35" s="2"/>
      <c r="D35" s="2"/>
      <c r="E35" s="17"/>
      <c r="F35" s="2"/>
      <c r="G35" s="8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 ht="14.25" customHeight="1">
      <c r="A36" s="16" t="str">
        <f t="shared" si="0"/>
        <v/>
      </c>
      <c r="B36" s="17"/>
      <c r="C36" s="2"/>
      <c r="D36" s="2"/>
      <c r="E36" s="17"/>
      <c r="F36" s="2"/>
      <c r="G36" s="8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1:21" ht="14.25" customHeight="1">
      <c r="A37" s="16" t="str">
        <f t="shared" si="0"/>
        <v/>
      </c>
      <c r="B37" s="17"/>
      <c r="C37" s="2"/>
      <c r="D37" s="2"/>
      <c r="E37" s="17"/>
      <c r="F37" s="2"/>
      <c r="G37" s="8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1" ht="14.25" customHeight="1">
      <c r="A38" s="16" t="str">
        <f t="shared" si="0"/>
        <v/>
      </c>
      <c r="B38" s="17"/>
      <c r="C38" s="2"/>
      <c r="D38" s="2"/>
      <c r="E38" s="17"/>
      <c r="F38" s="2"/>
      <c r="G38" s="8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1" ht="14.25" customHeight="1">
      <c r="A39" s="16" t="str">
        <f t="shared" si="0"/>
        <v/>
      </c>
      <c r="B39" s="17"/>
      <c r="C39" s="2"/>
      <c r="D39" s="2"/>
      <c r="E39" s="17"/>
      <c r="F39" s="2"/>
      <c r="G39" s="8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1" ht="14.25" customHeight="1">
      <c r="A40" s="16" t="str">
        <f t="shared" si="0"/>
        <v/>
      </c>
      <c r="B40" s="17"/>
      <c r="C40" s="2"/>
      <c r="D40" s="2"/>
      <c r="E40" s="17"/>
      <c r="F40" s="2"/>
      <c r="G40" s="8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1" ht="14.25" customHeight="1">
      <c r="A41" s="16" t="str">
        <f t="shared" si="0"/>
        <v/>
      </c>
      <c r="B41" s="17"/>
      <c r="C41" s="2"/>
      <c r="D41" s="2"/>
      <c r="E41" s="17"/>
      <c r="F41" s="2"/>
      <c r="G41" s="8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1" ht="14.25" customHeight="1">
      <c r="A42" s="16" t="str">
        <f t="shared" si="0"/>
        <v/>
      </c>
      <c r="B42" s="17"/>
      <c r="C42" s="2"/>
      <c r="D42" s="2"/>
      <c r="E42" s="17"/>
      <c r="F42" s="2"/>
      <c r="G42" s="8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1" ht="14.25" customHeight="1">
      <c r="A43" s="16" t="str">
        <f t="shared" si="0"/>
        <v/>
      </c>
      <c r="B43" s="17"/>
      <c r="C43" s="2"/>
      <c r="D43" s="2"/>
      <c r="E43" s="17"/>
      <c r="F43" s="2"/>
      <c r="G43" s="8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1" ht="14.25" customHeight="1">
      <c r="A44" s="16" t="str">
        <f t="shared" si="0"/>
        <v/>
      </c>
      <c r="B44" s="17"/>
      <c r="C44" s="2"/>
      <c r="D44" s="2"/>
      <c r="E44" s="17"/>
      <c r="F44" s="2"/>
      <c r="G44" s="8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 ht="14.25" customHeight="1">
      <c r="A45" s="16" t="str">
        <f t="shared" si="0"/>
        <v/>
      </c>
      <c r="B45" s="17"/>
      <c r="C45" s="2"/>
      <c r="D45" s="2"/>
      <c r="E45" s="17"/>
      <c r="F45" s="2"/>
      <c r="G45" s="8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 ht="14.25" customHeight="1">
      <c r="A46" s="16" t="str">
        <f t="shared" si="0"/>
        <v/>
      </c>
      <c r="B46" s="17"/>
      <c r="C46" s="2"/>
      <c r="D46" s="2"/>
      <c r="E46" s="17"/>
      <c r="F46" s="2"/>
      <c r="G46" s="8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1" ht="14.25" customHeight="1">
      <c r="A47" s="16" t="str">
        <f t="shared" si="0"/>
        <v/>
      </c>
      <c r="B47" s="17"/>
      <c r="C47" s="2"/>
      <c r="D47" s="2"/>
      <c r="E47" s="17"/>
      <c r="F47" s="2"/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1:21" ht="14.25" customHeight="1">
      <c r="A48" s="16" t="str">
        <f t="shared" si="0"/>
        <v/>
      </c>
      <c r="B48" s="17"/>
      <c r="C48" s="2"/>
      <c r="D48" s="2"/>
      <c r="E48" s="17"/>
      <c r="F48" s="2"/>
      <c r="G48" s="8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1:21" ht="14.25" customHeight="1">
      <c r="A49" s="16" t="str">
        <f t="shared" si="0"/>
        <v/>
      </c>
      <c r="B49" s="17"/>
      <c r="C49" s="2"/>
      <c r="D49" s="2"/>
      <c r="E49" s="17"/>
      <c r="F49" s="2"/>
      <c r="G49" s="8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spans="1:21" ht="14.25" customHeight="1">
      <c r="A50" s="16" t="str">
        <f t="shared" si="0"/>
        <v/>
      </c>
      <c r="B50" s="17"/>
      <c r="C50" s="2"/>
      <c r="D50" s="2"/>
      <c r="E50" s="17"/>
      <c r="F50" s="2"/>
      <c r="G50" s="8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 ht="14.25" customHeight="1">
      <c r="A51" s="16" t="str">
        <f t="shared" si="0"/>
        <v/>
      </c>
      <c r="B51" s="17"/>
      <c r="C51" s="2"/>
      <c r="D51" s="2"/>
      <c r="E51" s="17"/>
      <c r="F51" s="2"/>
      <c r="G51" s="8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 ht="14.25" customHeight="1">
      <c r="A52" s="16" t="str">
        <f t="shared" si="0"/>
        <v/>
      </c>
      <c r="B52" s="17"/>
      <c r="C52" s="2"/>
      <c r="D52" s="2"/>
      <c r="E52" s="17"/>
      <c r="F52" s="2"/>
      <c r="G52" s="8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 ht="14.25" customHeight="1">
      <c r="A53" s="16" t="str">
        <f t="shared" si="0"/>
        <v/>
      </c>
      <c r="B53" s="17"/>
      <c r="C53" s="2"/>
      <c r="D53" s="2"/>
      <c r="E53" s="17"/>
      <c r="F53" s="2"/>
      <c r="G53" s="8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1:21" ht="14.25" customHeight="1">
      <c r="A54" s="16" t="str">
        <f t="shared" si="0"/>
        <v/>
      </c>
      <c r="B54" s="17"/>
      <c r="C54" s="2"/>
      <c r="D54" s="2"/>
      <c r="E54" s="17"/>
      <c r="F54" s="2"/>
      <c r="G54" s="8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 ht="14.25" customHeight="1">
      <c r="A55" s="16" t="str">
        <f t="shared" si="0"/>
        <v/>
      </c>
      <c r="B55" s="17"/>
      <c r="C55" s="2"/>
      <c r="D55" s="2"/>
      <c r="E55" s="17"/>
      <c r="F55" s="2"/>
      <c r="G55" s="8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 ht="14.25" customHeight="1">
      <c r="A56" s="16" t="str">
        <f t="shared" si="0"/>
        <v/>
      </c>
      <c r="B56" s="17"/>
      <c r="C56" s="2"/>
      <c r="D56" s="2"/>
      <c r="E56" s="17"/>
      <c r="F56" s="2"/>
      <c r="G56" s="8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 ht="14.25" customHeight="1">
      <c r="A57" s="16" t="str">
        <f t="shared" si="0"/>
        <v/>
      </c>
      <c r="B57" s="17"/>
      <c r="C57" s="2"/>
      <c r="D57" s="2"/>
      <c r="E57" s="17"/>
      <c r="F57" s="2"/>
      <c r="G57" s="8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 ht="14.25" customHeight="1">
      <c r="A58" s="16" t="str">
        <f t="shared" si="0"/>
        <v/>
      </c>
      <c r="B58" s="17"/>
      <c r="C58" s="2"/>
      <c r="D58" s="2"/>
      <c r="E58" s="17"/>
      <c r="F58" s="2"/>
      <c r="G58" s="8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 ht="14.25" customHeight="1">
      <c r="A59" s="16" t="str">
        <f t="shared" si="0"/>
        <v/>
      </c>
      <c r="B59" s="17"/>
      <c r="C59" s="2"/>
      <c r="D59" s="2"/>
      <c r="E59" s="17"/>
      <c r="F59" s="2"/>
      <c r="G59" s="8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1" ht="14.25" customHeight="1">
      <c r="A60" s="16" t="str">
        <f t="shared" si="0"/>
        <v/>
      </c>
      <c r="B60" s="17"/>
      <c r="C60" s="2"/>
      <c r="D60" s="2"/>
      <c r="E60" s="17"/>
      <c r="F60" s="2"/>
      <c r="G60" s="8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1" ht="14.25" customHeight="1">
      <c r="A61" s="16" t="str">
        <f t="shared" si="0"/>
        <v/>
      </c>
      <c r="B61" s="17"/>
      <c r="C61" s="2"/>
      <c r="D61" s="2"/>
      <c r="E61" s="17"/>
      <c r="F61" s="2"/>
      <c r="G61" s="8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1" ht="14.25" customHeight="1">
      <c r="A62" s="16" t="str">
        <f t="shared" si="0"/>
        <v/>
      </c>
      <c r="B62" s="17"/>
      <c r="C62" s="2"/>
      <c r="D62" s="2"/>
      <c r="E62" s="17"/>
      <c r="F62" s="2"/>
      <c r="G62" s="8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14.25" customHeight="1">
      <c r="A63" s="16" t="str">
        <f t="shared" si="0"/>
        <v/>
      </c>
      <c r="B63" s="17"/>
      <c r="C63" s="2"/>
      <c r="D63" s="2"/>
      <c r="E63" s="17"/>
      <c r="F63" s="2"/>
      <c r="G63" s="8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1:21" ht="14.25" customHeight="1">
      <c r="A64" s="16" t="str">
        <f t="shared" si="0"/>
        <v/>
      </c>
      <c r="B64" s="17"/>
      <c r="C64" s="2"/>
      <c r="D64" s="2"/>
      <c r="E64" s="17"/>
      <c r="F64" s="2"/>
      <c r="G64" s="8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ht="14.25" customHeight="1">
      <c r="A65" s="16" t="str">
        <f t="shared" si="0"/>
        <v/>
      </c>
      <c r="B65" s="17"/>
      <c r="C65" s="2"/>
      <c r="D65" s="2"/>
      <c r="E65" s="17"/>
      <c r="F65" s="2"/>
      <c r="G65" s="8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1:21" ht="14.25" customHeight="1">
      <c r="A66" s="16" t="str">
        <f t="shared" si="0"/>
        <v/>
      </c>
      <c r="B66" s="17"/>
      <c r="C66" s="2"/>
      <c r="D66" s="2"/>
      <c r="E66" s="17"/>
      <c r="F66" s="2"/>
      <c r="G66" s="8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1:21" ht="14.25" customHeight="1">
      <c r="A67" s="16" t="str">
        <f t="shared" si="0"/>
        <v/>
      </c>
      <c r="B67" s="17"/>
      <c r="C67" s="2"/>
      <c r="D67" s="2"/>
      <c r="E67" s="17"/>
      <c r="F67" s="2"/>
      <c r="G67" s="8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1:21" ht="14.25" customHeight="1">
      <c r="A68" s="16" t="str">
        <f t="shared" si="0"/>
        <v/>
      </c>
      <c r="B68" s="17"/>
      <c r="C68" s="2"/>
      <c r="D68" s="2"/>
      <c r="E68" s="17"/>
      <c r="F68" s="2"/>
      <c r="G68" s="8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 ht="14.25" customHeight="1">
      <c r="A69" s="16" t="str">
        <f t="shared" si="0"/>
        <v/>
      </c>
      <c r="B69" s="17"/>
      <c r="C69" s="2"/>
      <c r="D69" s="2"/>
      <c r="E69" s="17"/>
      <c r="F69" s="2"/>
      <c r="G69" s="8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ht="14.25" customHeight="1">
      <c r="A70" s="16" t="str">
        <f t="shared" si="0"/>
        <v/>
      </c>
      <c r="B70" s="17"/>
      <c r="C70" s="2"/>
      <c r="D70" s="2"/>
      <c r="E70" s="17"/>
      <c r="F70" s="2"/>
      <c r="G70" s="8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ht="14.25" customHeight="1">
      <c r="A71" s="16" t="str">
        <f t="shared" si="0"/>
        <v/>
      </c>
      <c r="B71" s="17"/>
      <c r="C71" s="2"/>
      <c r="D71" s="2"/>
      <c r="E71" s="17"/>
      <c r="F71" s="2"/>
      <c r="G71" s="8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1:21" ht="14.25" customHeight="1">
      <c r="A72" s="16" t="str">
        <f t="shared" si="0"/>
        <v/>
      </c>
      <c r="B72" s="17"/>
      <c r="C72" s="2"/>
      <c r="D72" s="2"/>
      <c r="E72" s="17"/>
      <c r="F72" s="2"/>
      <c r="G72" s="8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1:21" ht="14.25" customHeight="1">
      <c r="A73" s="16" t="str">
        <f t="shared" si="0"/>
        <v/>
      </c>
      <c r="B73" s="17"/>
      <c r="C73" s="2"/>
      <c r="D73" s="2"/>
      <c r="E73" s="17"/>
      <c r="F73" s="2"/>
      <c r="G73" s="8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1:21" ht="14.25" customHeight="1">
      <c r="A74" s="16" t="str">
        <f t="shared" si="0"/>
        <v/>
      </c>
      <c r="B74" s="17"/>
      <c r="C74" s="2"/>
      <c r="D74" s="2"/>
      <c r="E74" s="17"/>
      <c r="F74" s="2"/>
      <c r="G74" s="8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ht="14.25" customHeight="1">
      <c r="A75" s="16" t="str">
        <f t="shared" si="0"/>
        <v/>
      </c>
      <c r="B75" s="17"/>
      <c r="C75" s="2"/>
      <c r="D75" s="2"/>
      <c r="E75" s="17"/>
      <c r="F75" s="2"/>
      <c r="G75" s="8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14.25" customHeight="1">
      <c r="A76" s="16" t="str">
        <f t="shared" si="0"/>
        <v/>
      </c>
      <c r="B76" s="17"/>
      <c r="C76" s="2"/>
      <c r="D76" s="2"/>
      <c r="E76" s="17"/>
      <c r="F76" s="2"/>
      <c r="G76" s="8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 ht="14.25" customHeight="1">
      <c r="A77" s="16" t="str">
        <f t="shared" si="0"/>
        <v/>
      </c>
      <c r="B77" s="17"/>
      <c r="C77" s="2"/>
      <c r="D77" s="2"/>
      <c r="E77" s="17"/>
      <c r="F77" s="2"/>
      <c r="G77" s="8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ht="14.25" customHeight="1">
      <c r="A78" s="16" t="str">
        <f t="shared" si="0"/>
        <v/>
      </c>
      <c r="B78" s="17"/>
      <c r="C78" s="2"/>
      <c r="D78" s="2"/>
      <c r="E78" s="17"/>
      <c r="F78" s="2"/>
      <c r="G78" s="8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 ht="14.25" customHeight="1">
      <c r="A79" s="16" t="str">
        <f t="shared" si="0"/>
        <v/>
      </c>
      <c r="B79" s="17"/>
      <c r="C79" s="2"/>
      <c r="D79" s="2"/>
      <c r="E79" s="17"/>
      <c r="F79" s="2"/>
      <c r="G79" s="8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1:21" ht="14.25" customHeight="1">
      <c r="A80" s="16" t="str">
        <f t="shared" si="0"/>
        <v/>
      </c>
      <c r="B80" s="17"/>
      <c r="C80" s="2"/>
      <c r="D80" s="2"/>
      <c r="E80" s="17"/>
      <c r="F80" s="2"/>
      <c r="G80" s="8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 ht="14.25" customHeight="1">
      <c r="A81" s="16" t="str">
        <f t="shared" si="0"/>
        <v/>
      </c>
      <c r="B81" s="17"/>
      <c r="C81" s="2"/>
      <c r="D81" s="2"/>
      <c r="E81" s="17"/>
      <c r="F81" s="2"/>
      <c r="G81" s="8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 ht="14.25" customHeight="1">
      <c r="A82" s="16" t="str">
        <f t="shared" si="0"/>
        <v/>
      </c>
      <c r="B82" s="17"/>
      <c r="C82" s="2"/>
      <c r="D82" s="2"/>
      <c r="E82" s="17"/>
      <c r="F82" s="2"/>
      <c r="G82" s="8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 ht="14.25" customHeight="1">
      <c r="A83" s="16" t="str">
        <f t="shared" si="0"/>
        <v/>
      </c>
      <c r="B83" s="17"/>
      <c r="C83" s="2"/>
      <c r="D83" s="2"/>
      <c r="E83" s="17"/>
      <c r="F83" s="2"/>
      <c r="G83" s="8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ht="14.25" customHeight="1">
      <c r="A84" s="16" t="str">
        <f t="shared" si="0"/>
        <v/>
      </c>
      <c r="B84" s="17"/>
      <c r="C84" s="2"/>
      <c r="D84" s="2"/>
      <c r="E84" s="17"/>
      <c r="F84" s="2"/>
      <c r="G84" s="8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ht="14.25" customHeight="1">
      <c r="A85" s="16" t="str">
        <f t="shared" si="0"/>
        <v/>
      </c>
      <c r="B85" s="17"/>
      <c r="C85" s="2"/>
      <c r="D85" s="2"/>
      <c r="E85" s="17"/>
      <c r="F85" s="2"/>
      <c r="G85" s="8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ht="14.25" customHeight="1">
      <c r="A86" s="16" t="str">
        <f t="shared" si="0"/>
        <v/>
      </c>
      <c r="B86" s="17"/>
      <c r="C86" s="2"/>
      <c r="D86" s="2"/>
      <c r="E86" s="17"/>
      <c r="F86" s="2"/>
      <c r="G86" s="8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ht="14.25" customHeight="1">
      <c r="A87" s="16" t="str">
        <f t="shared" si="0"/>
        <v/>
      </c>
      <c r="B87" s="17"/>
      <c r="C87" s="2"/>
      <c r="D87" s="2"/>
      <c r="E87" s="17"/>
      <c r="F87" s="2"/>
      <c r="G87" s="8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 ht="14.25" customHeight="1">
      <c r="A88" s="16" t="str">
        <f t="shared" si="0"/>
        <v/>
      </c>
      <c r="B88" s="17"/>
      <c r="C88" s="2"/>
      <c r="D88" s="2"/>
      <c r="E88" s="17"/>
      <c r="F88" s="2"/>
      <c r="G88" s="8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 ht="14.25" customHeight="1">
      <c r="A89" s="16" t="str">
        <f t="shared" si="0"/>
        <v/>
      </c>
      <c r="B89" s="17"/>
      <c r="C89" s="2"/>
      <c r="D89" s="2"/>
      <c r="E89" s="17"/>
      <c r="F89" s="2"/>
      <c r="G89" s="8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 ht="14.25" customHeight="1">
      <c r="A90" s="16" t="str">
        <f t="shared" si="0"/>
        <v/>
      </c>
      <c r="B90" s="17"/>
      <c r="C90" s="2"/>
      <c r="D90" s="2"/>
      <c r="E90" s="17"/>
      <c r="F90" s="2"/>
      <c r="G90" s="8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 ht="14.25" customHeight="1">
      <c r="A91" s="16" t="str">
        <f t="shared" si="0"/>
        <v/>
      </c>
      <c r="B91" s="17"/>
      <c r="C91" s="2"/>
      <c r="D91" s="2"/>
      <c r="E91" s="17"/>
      <c r="F91" s="2"/>
      <c r="G91" s="8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 ht="14.25" customHeight="1">
      <c r="A92" s="16" t="str">
        <f t="shared" si="0"/>
        <v/>
      </c>
      <c r="B92" s="17"/>
      <c r="C92" s="2"/>
      <c r="D92" s="2"/>
      <c r="E92" s="17"/>
      <c r="F92" s="2"/>
      <c r="G92" s="8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 ht="14.25" customHeight="1">
      <c r="A93" s="16" t="str">
        <f t="shared" si="0"/>
        <v/>
      </c>
      <c r="B93" s="17"/>
      <c r="C93" s="2"/>
      <c r="D93" s="2"/>
      <c r="E93" s="17"/>
      <c r="F93" s="2"/>
      <c r="G93" s="8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 ht="14.25" customHeight="1">
      <c r="A94" s="16" t="str">
        <f t="shared" si="0"/>
        <v/>
      </c>
      <c r="B94" s="17"/>
      <c r="C94" s="2"/>
      <c r="D94" s="2"/>
      <c r="E94" s="17"/>
      <c r="F94" s="2"/>
      <c r="G94" s="8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 ht="14.25" customHeight="1">
      <c r="A95" s="16" t="str">
        <f t="shared" si="0"/>
        <v/>
      </c>
      <c r="B95" s="17"/>
      <c r="C95" s="2"/>
      <c r="D95" s="2"/>
      <c r="E95" s="17"/>
      <c r="F95" s="2"/>
      <c r="G95" s="8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 ht="14.25" customHeight="1">
      <c r="A96" s="16" t="str">
        <f t="shared" si="0"/>
        <v/>
      </c>
      <c r="B96" s="17"/>
      <c r="C96" s="2"/>
      <c r="D96" s="2"/>
      <c r="E96" s="17"/>
      <c r="F96" s="2"/>
      <c r="G96" s="8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ht="14.25" customHeight="1">
      <c r="A97" s="16" t="str">
        <f t="shared" si="0"/>
        <v/>
      </c>
      <c r="B97" s="17"/>
      <c r="C97" s="2"/>
      <c r="D97" s="2"/>
      <c r="E97" s="17"/>
      <c r="F97" s="2"/>
      <c r="G97" s="8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ht="14.25" customHeight="1">
      <c r="A98" s="16" t="str">
        <f t="shared" si="0"/>
        <v/>
      </c>
      <c r="B98" s="17"/>
      <c r="C98" s="2"/>
      <c r="D98" s="2"/>
      <c r="E98" s="17"/>
      <c r="F98" s="2"/>
      <c r="G98" s="8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ht="14.25" customHeight="1">
      <c r="A99" s="16" t="str">
        <f t="shared" si="0"/>
        <v/>
      </c>
      <c r="B99" s="17"/>
      <c r="C99" s="2"/>
      <c r="D99" s="2"/>
      <c r="E99" s="17"/>
      <c r="F99" s="2"/>
      <c r="G99" s="8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ht="14.25" customHeight="1">
      <c r="A100" s="16" t="str">
        <f t="shared" si="0"/>
        <v/>
      </c>
      <c r="B100" s="17"/>
      <c r="C100" s="2"/>
      <c r="D100" s="2"/>
      <c r="E100" s="17"/>
      <c r="F100" s="2"/>
      <c r="G100" s="8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ht="14.25" customHeight="1">
      <c r="A101" s="16" t="str">
        <f t="shared" si="0"/>
        <v/>
      </c>
      <c r="B101" s="17"/>
      <c r="C101" s="2"/>
      <c r="D101" s="2"/>
      <c r="E101" s="17"/>
      <c r="F101" s="2"/>
      <c r="G101" s="8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ht="14.25" customHeight="1">
      <c r="A102" s="16" t="str">
        <f t="shared" si="0"/>
        <v/>
      </c>
      <c r="B102" s="17"/>
      <c r="C102" s="2"/>
      <c r="D102" s="2"/>
      <c r="E102" s="17"/>
      <c r="F102" s="2"/>
      <c r="G102" s="8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ht="14.25" customHeight="1">
      <c r="A103" s="16" t="str">
        <f t="shared" si="0"/>
        <v/>
      </c>
      <c r="B103" s="17"/>
      <c r="C103" s="2"/>
      <c r="D103" s="2"/>
      <c r="E103" s="17"/>
      <c r="F103" s="2"/>
      <c r="G103" s="8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ht="14.25" customHeight="1">
      <c r="A104" s="16" t="str">
        <f t="shared" si="0"/>
        <v/>
      </c>
      <c r="B104" s="17"/>
      <c r="C104" s="2"/>
      <c r="D104" s="2"/>
      <c r="E104" s="17"/>
      <c r="F104" s="2"/>
      <c r="G104" s="8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ht="14.25" customHeight="1">
      <c r="A105" s="16" t="str">
        <f t="shared" si="0"/>
        <v/>
      </c>
      <c r="B105" s="17"/>
      <c r="C105" s="2"/>
      <c r="D105" s="2"/>
      <c r="E105" s="17"/>
      <c r="F105" s="2"/>
      <c r="G105" s="8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ht="14.25" customHeight="1">
      <c r="A106" s="16" t="str">
        <f t="shared" si="0"/>
        <v/>
      </c>
      <c r="B106" s="17"/>
      <c r="C106" s="2"/>
      <c r="D106" s="2"/>
      <c r="E106" s="17"/>
      <c r="F106" s="2"/>
      <c r="G106" s="8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 ht="14.25" customHeight="1">
      <c r="A107" s="16" t="str">
        <f t="shared" si="0"/>
        <v/>
      </c>
      <c r="B107" s="17"/>
      <c r="C107" s="2"/>
      <c r="D107" s="2"/>
      <c r="E107" s="17"/>
      <c r="F107" s="2"/>
      <c r="G107" s="8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1:21" ht="14.25" customHeight="1">
      <c r="A108" s="16" t="str">
        <f t="shared" si="0"/>
        <v/>
      </c>
      <c r="B108" s="17"/>
      <c r="C108" s="2"/>
      <c r="D108" s="2"/>
      <c r="E108" s="17"/>
      <c r="F108" s="2"/>
      <c r="G108" s="8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spans="1:21" ht="14.25" customHeight="1">
      <c r="A109" s="16" t="str">
        <f t="shared" si="0"/>
        <v/>
      </c>
      <c r="B109" s="17"/>
      <c r="C109" s="2"/>
      <c r="D109" s="2"/>
      <c r="E109" s="17"/>
      <c r="F109" s="2"/>
      <c r="G109" s="8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spans="1:21" ht="14.25" customHeight="1">
      <c r="A110" s="16" t="str">
        <f t="shared" si="0"/>
        <v/>
      </c>
      <c r="B110" s="17"/>
      <c r="C110" s="2"/>
      <c r="D110" s="2"/>
      <c r="E110" s="17"/>
      <c r="F110" s="2"/>
      <c r="G110" s="8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spans="1:21" ht="14.25" customHeight="1">
      <c r="A111" s="16" t="str">
        <f t="shared" si="0"/>
        <v/>
      </c>
      <c r="B111" s="17"/>
      <c r="C111" s="2"/>
      <c r="D111" s="2"/>
      <c r="E111" s="17"/>
      <c r="F111" s="2"/>
      <c r="G111" s="8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spans="1:21" ht="14.25" customHeight="1">
      <c r="A112" s="16" t="str">
        <f t="shared" si="0"/>
        <v/>
      </c>
      <c r="B112" s="17"/>
      <c r="C112" s="2"/>
      <c r="D112" s="2"/>
      <c r="E112" s="17"/>
      <c r="F112" s="2"/>
      <c r="G112" s="8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spans="1:21" ht="14.25" customHeight="1">
      <c r="A113" s="16" t="str">
        <f t="shared" si="0"/>
        <v/>
      </c>
      <c r="B113" s="17"/>
      <c r="C113" s="2"/>
      <c r="D113" s="2"/>
      <c r="E113" s="17"/>
      <c r="F113" s="2"/>
      <c r="G113" s="8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spans="1:21" ht="14.25" customHeight="1">
      <c r="A114" s="16" t="str">
        <f t="shared" si="0"/>
        <v/>
      </c>
      <c r="B114" s="17"/>
      <c r="C114" s="2"/>
      <c r="D114" s="2"/>
      <c r="E114" s="17"/>
      <c r="F114" s="2"/>
      <c r="G114" s="8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spans="1:21" ht="14.25" customHeight="1">
      <c r="A115" s="16" t="str">
        <f t="shared" si="0"/>
        <v/>
      </c>
      <c r="B115" s="17"/>
      <c r="C115" s="2"/>
      <c r="D115" s="2"/>
      <c r="E115" s="17"/>
      <c r="F115" s="2"/>
      <c r="G115" s="8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spans="1:21" ht="14.25" customHeight="1">
      <c r="A116" s="16" t="str">
        <f t="shared" si="0"/>
        <v/>
      </c>
      <c r="B116" s="17"/>
      <c r="C116" s="2"/>
      <c r="D116" s="2"/>
      <c r="E116" s="17"/>
      <c r="F116" s="2"/>
      <c r="G116" s="8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spans="1:21" ht="14.25" customHeight="1">
      <c r="A117" s="16" t="str">
        <f t="shared" si="0"/>
        <v/>
      </c>
      <c r="B117" s="17"/>
      <c r="C117" s="2"/>
      <c r="D117" s="2"/>
      <c r="E117" s="17"/>
      <c r="F117" s="2"/>
      <c r="G117" s="8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spans="1:21" ht="14.25" customHeight="1">
      <c r="A118" s="16" t="str">
        <f t="shared" si="0"/>
        <v/>
      </c>
      <c r="B118" s="17"/>
      <c r="C118" s="2"/>
      <c r="D118" s="2"/>
      <c r="E118" s="17"/>
      <c r="F118" s="2"/>
      <c r="G118" s="8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spans="1:21" ht="14.25" customHeight="1">
      <c r="A119" s="16" t="str">
        <f t="shared" si="0"/>
        <v/>
      </c>
      <c r="B119" s="17"/>
      <c r="C119" s="2"/>
      <c r="D119" s="2"/>
      <c r="E119" s="17"/>
      <c r="F119" s="2"/>
      <c r="G119" s="8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spans="1:21" ht="14.25" customHeight="1">
      <c r="A120" s="16" t="str">
        <f t="shared" si="0"/>
        <v/>
      </c>
      <c r="B120" s="17"/>
      <c r="C120" s="2"/>
      <c r="D120" s="2"/>
      <c r="E120" s="17"/>
      <c r="F120" s="2"/>
      <c r="G120" s="8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spans="1:21" ht="14.25" customHeight="1">
      <c r="B121" s="7"/>
      <c r="E121" s="7"/>
      <c r="G121" s="9"/>
    </row>
    <row r="122" spans="1:21" ht="14.25" customHeight="1">
      <c r="A122" s="18" t="s">
        <v>103</v>
      </c>
      <c r="B122" s="16">
        <f>COUNTIF(E21:E120,"L")</f>
        <v>4</v>
      </c>
      <c r="E122" s="7"/>
      <c r="G122" s="9"/>
    </row>
    <row r="123" spans="1:21" ht="14.25" customHeight="1">
      <c r="A123" s="18" t="s">
        <v>104</v>
      </c>
      <c r="B123" s="16">
        <f>COUNTIF(E21:E120,"P")</f>
        <v>1</v>
      </c>
      <c r="E123" s="7"/>
      <c r="G123" s="9"/>
    </row>
    <row r="124" spans="1:21" ht="14.25" customHeight="1">
      <c r="A124" s="18" t="s">
        <v>105</v>
      </c>
      <c r="B124" s="16">
        <f>COUNTA(C21:C120)</f>
        <v>5</v>
      </c>
      <c r="E124" s="7"/>
      <c r="G124" s="9"/>
    </row>
    <row r="125" spans="1:21" ht="14.25" customHeight="1">
      <c r="B125" s="7"/>
      <c r="E125" s="7"/>
      <c r="G125" s="9"/>
    </row>
    <row r="126" spans="1:21" ht="14.25" customHeight="1">
      <c r="B126" s="7"/>
      <c r="E126" s="7"/>
      <c r="G126" s="9"/>
    </row>
    <row r="127" spans="1:21" ht="14.25" customHeight="1">
      <c r="B127" s="7"/>
      <c r="E127" s="7"/>
      <c r="G127" s="9"/>
    </row>
    <row r="128" spans="1:21" ht="14.25" customHeight="1">
      <c r="B128" s="7"/>
      <c r="E128" s="7"/>
      <c r="G128" s="9"/>
    </row>
    <row r="129" spans="2:7" ht="14.25" customHeight="1">
      <c r="B129" s="7"/>
      <c r="E129" s="7"/>
      <c r="G129" s="9"/>
    </row>
    <row r="130" spans="2:7" ht="14.25" customHeight="1">
      <c r="B130" s="7"/>
      <c r="E130" s="7"/>
      <c r="G130" s="9"/>
    </row>
    <row r="131" spans="2:7" ht="14.25" customHeight="1">
      <c r="B131" s="7"/>
      <c r="E131" s="7"/>
      <c r="G131" s="9"/>
    </row>
    <row r="132" spans="2:7" ht="14.25" customHeight="1">
      <c r="B132" s="7"/>
      <c r="E132" s="7"/>
      <c r="G132" s="9"/>
    </row>
    <row r="133" spans="2:7" ht="14.25" customHeight="1">
      <c r="B133" s="7"/>
      <c r="E133" s="7"/>
      <c r="G133" s="9"/>
    </row>
    <row r="134" spans="2:7" ht="14.25" customHeight="1">
      <c r="B134" s="7"/>
      <c r="E134" s="7"/>
      <c r="G134" s="9"/>
    </row>
    <row r="135" spans="2:7" ht="14.25" customHeight="1">
      <c r="B135" s="7"/>
      <c r="E135" s="7"/>
      <c r="G135" s="9"/>
    </row>
    <row r="136" spans="2:7" ht="14.25" customHeight="1">
      <c r="B136" s="7"/>
      <c r="E136" s="7"/>
      <c r="G136" s="9"/>
    </row>
    <row r="137" spans="2:7" ht="14.25" customHeight="1">
      <c r="B137" s="7"/>
      <c r="E137" s="7"/>
      <c r="G137" s="9"/>
    </row>
    <row r="138" spans="2:7" ht="14.25" customHeight="1">
      <c r="B138" s="7"/>
      <c r="E138" s="7"/>
      <c r="G138" s="9"/>
    </row>
    <row r="139" spans="2:7" ht="14.25" customHeight="1">
      <c r="B139" s="7"/>
      <c r="E139" s="7"/>
      <c r="G139" s="9"/>
    </row>
    <row r="140" spans="2:7" ht="14.25" customHeight="1">
      <c r="B140" s="7"/>
      <c r="E140" s="7"/>
      <c r="G140" s="9"/>
    </row>
    <row r="141" spans="2:7" ht="14.25" customHeight="1">
      <c r="B141" s="7"/>
      <c r="E141" s="7"/>
      <c r="G141" s="9"/>
    </row>
    <row r="142" spans="2:7" ht="14.25" customHeight="1">
      <c r="B142" s="7"/>
      <c r="E142" s="7"/>
      <c r="G142" s="9"/>
    </row>
    <row r="143" spans="2:7" ht="14.25" customHeight="1">
      <c r="B143" s="7"/>
      <c r="E143" s="7"/>
      <c r="G143" s="9"/>
    </row>
    <row r="144" spans="2:7" ht="14.25" customHeight="1">
      <c r="B144" s="7"/>
      <c r="E144" s="7"/>
      <c r="G144" s="9"/>
    </row>
    <row r="145" spans="2:7" ht="14.25" customHeight="1">
      <c r="B145" s="7"/>
      <c r="E145" s="7"/>
      <c r="G145" s="9"/>
    </row>
    <row r="146" spans="2:7" ht="14.25" customHeight="1">
      <c r="B146" s="7"/>
      <c r="E146" s="7"/>
      <c r="G146" s="9"/>
    </row>
    <row r="147" spans="2:7" ht="14.25" customHeight="1">
      <c r="B147" s="7"/>
      <c r="E147" s="7"/>
      <c r="G147" s="9"/>
    </row>
    <row r="148" spans="2:7" ht="14.25" customHeight="1">
      <c r="B148" s="7"/>
      <c r="E148" s="7"/>
      <c r="G148" s="9"/>
    </row>
    <row r="149" spans="2:7" ht="14.25" customHeight="1">
      <c r="B149" s="7"/>
      <c r="E149" s="7"/>
      <c r="G149" s="9"/>
    </row>
    <row r="150" spans="2:7" ht="14.25" customHeight="1">
      <c r="B150" s="7"/>
      <c r="E150" s="7"/>
      <c r="G150" s="9"/>
    </row>
    <row r="151" spans="2:7" ht="14.25" customHeight="1">
      <c r="B151" s="7"/>
      <c r="E151" s="7"/>
      <c r="G151" s="9"/>
    </row>
    <row r="152" spans="2:7" ht="14.25" customHeight="1">
      <c r="B152" s="7"/>
      <c r="E152" s="7"/>
      <c r="G152" s="9"/>
    </row>
    <row r="153" spans="2:7" ht="14.25" customHeight="1">
      <c r="B153" s="7"/>
      <c r="E153" s="7"/>
      <c r="G153" s="9"/>
    </row>
    <row r="154" spans="2:7" ht="14.25" customHeight="1">
      <c r="B154" s="7"/>
      <c r="E154" s="7"/>
      <c r="G154" s="9"/>
    </row>
    <row r="155" spans="2:7" ht="14.25" customHeight="1">
      <c r="B155" s="7"/>
      <c r="E155" s="7"/>
      <c r="G155" s="9"/>
    </row>
    <row r="156" spans="2:7" ht="14.25" customHeight="1">
      <c r="B156" s="7"/>
      <c r="E156" s="7"/>
      <c r="G156" s="9"/>
    </row>
    <row r="157" spans="2:7" ht="14.25" customHeight="1">
      <c r="B157" s="7"/>
      <c r="E157" s="7"/>
      <c r="G157" s="9"/>
    </row>
    <row r="158" spans="2:7" ht="14.25" customHeight="1">
      <c r="B158" s="7"/>
      <c r="E158" s="7"/>
      <c r="G158" s="9"/>
    </row>
    <row r="159" spans="2:7" ht="14.25" customHeight="1">
      <c r="B159" s="7"/>
      <c r="E159" s="7"/>
      <c r="G159" s="9"/>
    </row>
    <row r="160" spans="2:7" ht="14.25" customHeight="1">
      <c r="B160" s="7"/>
      <c r="E160" s="7"/>
      <c r="G160" s="9"/>
    </row>
    <row r="161" spans="2:7" ht="14.25" customHeight="1">
      <c r="B161" s="7"/>
      <c r="E161" s="7"/>
      <c r="G161" s="9"/>
    </row>
    <row r="162" spans="2:7" ht="14.25" customHeight="1">
      <c r="B162" s="7"/>
      <c r="E162" s="7"/>
      <c r="G162" s="9"/>
    </row>
    <row r="163" spans="2:7" ht="14.25" customHeight="1">
      <c r="B163" s="7"/>
      <c r="E163" s="7"/>
      <c r="G163" s="9"/>
    </row>
    <row r="164" spans="2:7" ht="14.25" customHeight="1">
      <c r="B164" s="7"/>
      <c r="E164" s="7"/>
      <c r="G164" s="9"/>
    </row>
    <row r="165" spans="2:7" ht="14.25" customHeight="1">
      <c r="B165" s="7"/>
      <c r="E165" s="7"/>
      <c r="G165" s="9"/>
    </row>
    <row r="166" spans="2:7" ht="14.25" customHeight="1">
      <c r="B166" s="7"/>
      <c r="E166" s="7"/>
      <c r="G166" s="9"/>
    </row>
    <row r="167" spans="2:7" ht="14.25" customHeight="1">
      <c r="B167" s="7"/>
      <c r="E167" s="7"/>
      <c r="G167" s="9"/>
    </row>
    <row r="168" spans="2:7" ht="14.25" customHeight="1">
      <c r="B168" s="7"/>
      <c r="E168" s="7"/>
      <c r="G168" s="9"/>
    </row>
    <row r="169" spans="2:7" ht="14.25" customHeight="1">
      <c r="B169" s="7"/>
      <c r="E169" s="7"/>
      <c r="G169" s="9"/>
    </row>
    <row r="170" spans="2:7" ht="14.25" customHeight="1">
      <c r="B170" s="7"/>
      <c r="E170" s="7"/>
      <c r="G170" s="9"/>
    </row>
    <row r="171" spans="2:7" ht="14.25" customHeight="1">
      <c r="B171" s="7"/>
      <c r="E171" s="7"/>
      <c r="G171" s="9"/>
    </row>
    <row r="172" spans="2:7" ht="14.25" customHeight="1">
      <c r="B172" s="7"/>
      <c r="E172" s="7"/>
      <c r="G172" s="9"/>
    </row>
    <row r="173" spans="2:7" ht="14.25" customHeight="1">
      <c r="B173" s="7"/>
      <c r="E173" s="7"/>
      <c r="G173" s="9"/>
    </row>
    <row r="174" spans="2:7" ht="14.25" customHeight="1">
      <c r="B174" s="7"/>
      <c r="E174" s="7"/>
      <c r="G174" s="9"/>
    </row>
    <row r="175" spans="2:7" ht="14.25" customHeight="1">
      <c r="B175" s="7"/>
      <c r="E175" s="7"/>
      <c r="G175" s="9"/>
    </row>
    <row r="176" spans="2:7" ht="14.25" customHeight="1">
      <c r="B176" s="7"/>
      <c r="E176" s="7"/>
      <c r="G176" s="9"/>
    </row>
    <row r="177" spans="2:7" ht="14.25" customHeight="1">
      <c r="B177" s="7"/>
      <c r="E177" s="7"/>
      <c r="G177" s="9"/>
    </row>
    <row r="178" spans="2:7" ht="14.25" customHeight="1">
      <c r="B178" s="7"/>
      <c r="E178" s="7"/>
      <c r="G178" s="9"/>
    </row>
    <row r="179" spans="2:7" ht="14.25" customHeight="1">
      <c r="B179" s="7"/>
      <c r="E179" s="7"/>
      <c r="G179" s="9"/>
    </row>
    <row r="180" spans="2:7" ht="14.25" customHeight="1">
      <c r="B180" s="7"/>
      <c r="E180" s="7"/>
      <c r="G180" s="9"/>
    </row>
    <row r="181" spans="2:7" ht="14.25" customHeight="1">
      <c r="B181" s="7"/>
      <c r="E181" s="7"/>
      <c r="G181" s="9"/>
    </row>
    <row r="182" spans="2:7" ht="14.25" customHeight="1">
      <c r="B182" s="7"/>
      <c r="E182" s="7"/>
      <c r="G182" s="9"/>
    </row>
    <row r="183" spans="2:7" ht="14.25" customHeight="1">
      <c r="B183" s="7"/>
      <c r="E183" s="7"/>
      <c r="G183" s="9"/>
    </row>
    <row r="184" spans="2:7" ht="14.25" customHeight="1">
      <c r="B184" s="7"/>
      <c r="E184" s="7"/>
      <c r="G184" s="9"/>
    </row>
    <row r="185" spans="2:7" ht="14.25" customHeight="1">
      <c r="B185" s="7"/>
      <c r="E185" s="7"/>
      <c r="G185" s="9"/>
    </row>
    <row r="186" spans="2:7" ht="14.25" customHeight="1">
      <c r="B186" s="7"/>
      <c r="E186" s="7"/>
      <c r="G186" s="9"/>
    </row>
    <row r="187" spans="2:7" ht="14.25" customHeight="1">
      <c r="B187" s="7"/>
      <c r="E187" s="7"/>
      <c r="G187" s="9"/>
    </row>
    <row r="188" spans="2:7" ht="14.25" customHeight="1">
      <c r="B188" s="7"/>
      <c r="E188" s="7"/>
      <c r="G188" s="9"/>
    </row>
    <row r="189" spans="2:7" ht="14.25" customHeight="1">
      <c r="B189" s="7"/>
      <c r="E189" s="7"/>
      <c r="G189" s="9"/>
    </row>
    <row r="190" spans="2:7" ht="14.25" customHeight="1">
      <c r="B190" s="7"/>
      <c r="E190" s="7"/>
      <c r="G190" s="9"/>
    </row>
    <row r="191" spans="2:7" ht="14.25" customHeight="1">
      <c r="B191" s="7"/>
      <c r="E191" s="7"/>
      <c r="G191" s="9"/>
    </row>
    <row r="192" spans="2:7" ht="14.25" customHeight="1">
      <c r="B192" s="7"/>
      <c r="E192" s="7"/>
      <c r="G192" s="9"/>
    </row>
    <row r="193" spans="2:7" ht="14.25" customHeight="1">
      <c r="B193" s="7"/>
      <c r="E193" s="7"/>
      <c r="G193" s="9"/>
    </row>
    <row r="194" spans="2:7" ht="14.25" customHeight="1">
      <c r="B194" s="7"/>
      <c r="E194" s="7"/>
      <c r="G194" s="9"/>
    </row>
    <row r="195" spans="2:7" ht="14.25" customHeight="1">
      <c r="B195" s="7"/>
      <c r="E195" s="7"/>
      <c r="G195" s="9"/>
    </row>
    <row r="196" spans="2:7" ht="14.25" customHeight="1">
      <c r="B196" s="7"/>
      <c r="E196" s="7"/>
      <c r="G196" s="9"/>
    </row>
    <row r="197" spans="2:7" ht="14.25" customHeight="1">
      <c r="B197" s="7"/>
      <c r="E197" s="7"/>
      <c r="G197" s="9"/>
    </row>
    <row r="198" spans="2:7" ht="14.25" customHeight="1">
      <c r="B198" s="7"/>
      <c r="E198" s="7"/>
      <c r="G198" s="9"/>
    </row>
    <row r="199" spans="2:7" ht="14.25" customHeight="1">
      <c r="B199" s="7"/>
      <c r="E199" s="7"/>
      <c r="G199" s="9"/>
    </row>
    <row r="200" spans="2:7" ht="14.25" customHeight="1">
      <c r="B200" s="7"/>
      <c r="E200" s="7"/>
      <c r="G200" s="9"/>
    </row>
    <row r="201" spans="2:7" ht="14.25" customHeight="1">
      <c r="B201" s="7"/>
      <c r="E201" s="7"/>
      <c r="G201" s="9"/>
    </row>
    <row r="202" spans="2:7" ht="14.25" customHeight="1">
      <c r="B202" s="7"/>
      <c r="E202" s="7"/>
      <c r="G202" s="9"/>
    </row>
    <row r="203" spans="2:7" ht="14.25" customHeight="1">
      <c r="B203" s="7"/>
      <c r="E203" s="7"/>
      <c r="G203" s="9"/>
    </row>
    <row r="204" spans="2:7" ht="14.25" customHeight="1">
      <c r="B204" s="7"/>
      <c r="E204" s="7"/>
      <c r="G204" s="9"/>
    </row>
    <row r="205" spans="2:7" ht="14.25" customHeight="1">
      <c r="B205" s="7"/>
      <c r="E205" s="7"/>
      <c r="G205" s="9"/>
    </row>
    <row r="206" spans="2:7" ht="14.25" customHeight="1">
      <c r="B206" s="7"/>
      <c r="E206" s="7"/>
      <c r="G206" s="9"/>
    </row>
    <row r="207" spans="2:7" ht="14.25" customHeight="1">
      <c r="B207" s="7"/>
      <c r="E207" s="7"/>
      <c r="G207" s="9"/>
    </row>
    <row r="208" spans="2:7" ht="14.25" customHeight="1">
      <c r="B208" s="7"/>
      <c r="E208" s="7"/>
      <c r="G208" s="9"/>
    </row>
    <row r="209" spans="2:7" ht="14.25" customHeight="1">
      <c r="B209" s="7"/>
      <c r="E209" s="7"/>
      <c r="G209" s="9"/>
    </row>
    <row r="210" spans="2:7" ht="14.25" customHeight="1">
      <c r="B210" s="7"/>
      <c r="E210" s="7"/>
      <c r="G210" s="9"/>
    </row>
    <row r="211" spans="2:7" ht="14.25" customHeight="1">
      <c r="B211" s="7"/>
      <c r="E211" s="7"/>
      <c r="G211" s="9"/>
    </row>
    <row r="212" spans="2:7" ht="14.25" customHeight="1">
      <c r="B212" s="7"/>
      <c r="E212" s="7"/>
      <c r="G212" s="9"/>
    </row>
    <row r="213" spans="2:7" ht="14.25" customHeight="1">
      <c r="B213" s="7"/>
      <c r="E213" s="7"/>
      <c r="G213" s="9"/>
    </row>
    <row r="214" spans="2:7" ht="14.25" customHeight="1">
      <c r="B214" s="7"/>
      <c r="E214" s="7"/>
      <c r="G214" s="9"/>
    </row>
    <row r="215" spans="2:7" ht="14.25" customHeight="1">
      <c r="B215" s="7"/>
      <c r="E215" s="7"/>
      <c r="G215" s="9"/>
    </row>
    <row r="216" spans="2:7" ht="14.25" customHeight="1">
      <c r="B216" s="7"/>
      <c r="E216" s="7"/>
      <c r="G216" s="9"/>
    </row>
    <row r="217" spans="2:7" ht="14.25" customHeight="1">
      <c r="B217" s="7"/>
      <c r="E217" s="7"/>
      <c r="G217" s="9"/>
    </row>
    <row r="218" spans="2:7" ht="14.25" customHeight="1">
      <c r="B218" s="7"/>
      <c r="E218" s="7"/>
      <c r="G218" s="9"/>
    </row>
    <row r="219" spans="2:7" ht="14.25" customHeight="1">
      <c r="B219" s="7"/>
      <c r="E219" s="7"/>
      <c r="G219" s="9"/>
    </row>
    <row r="220" spans="2:7" ht="14.25" customHeight="1">
      <c r="B220" s="7"/>
      <c r="E220" s="7"/>
      <c r="G220" s="9"/>
    </row>
    <row r="221" spans="2:7" ht="14.25" customHeight="1">
      <c r="B221" s="7"/>
      <c r="E221" s="7"/>
      <c r="G221" s="9"/>
    </row>
    <row r="222" spans="2:7" ht="14.25" customHeight="1">
      <c r="B222" s="7"/>
      <c r="E222" s="7"/>
      <c r="G222" s="9"/>
    </row>
    <row r="223" spans="2:7" ht="14.25" customHeight="1">
      <c r="B223" s="7"/>
      <c r="E223" s="7"/>
      <c r="G223" s="9"/>
    </row>
    <row r="224" spans="2:7" ht="14.25" customHeight="1">
      <c r="B224" s="7"/>
      <c r="E224" s="7"/>
      <c r="G224" s="9"/>
    </row>
    <row r="225" spans="2:7" ht="14.25" customHeight="1">
      <c r="B225" s="7"/>
      <c r="E225" s="7"/>
      <c r="G225" s="9"/>
    </row>
    <row r="226" spans="2:7" ht="14.25" customHeight="1">
      <c r="B226" s="7"/>
      <c r="E226" s="7"/>
      <c r="G226" s="9"/>
    </row>
    <row r="227" spans="2:7" ht="14.25" customHeight="1">
      <c r="B227" s="7"/>
      <c r="E227" s="7"/>
      <c r="G227" s="9"/>
    </row>
    <row r="228" spans="2:7" ht="14.25" customHeight="1">
      <c r="B228" s="7"/>
      <c r="E228" s="7"/>
      <c r="G228" s="9"/>
    </row>
    <row r="229" spans="2:7" ht="14.25" customHeight="1">
      <c r="B229" s="7"/>
      <c r="E229" s="7"/>
      <c r="G229" s="9"/>
    </row>
    <row r="230" spans="2:7" ht="14.25" customHeight="1">
      <c r="B230" s="7"/>
      <c r="E230" s="7"/>
      <c r="G230" s="9"/>
    </row>
    <row r="231" spans="2:7" ht="14.25" customHeight="1">
      <c r="B231" s="7"/>
      <c r="E231" s="7"/>
      <c r="G231" s="9"/>
    </row>
    <row r="232" spans="2:7" ht="14.25" customHeight="1">
      <c r="B232" s="7"/>
      <c r="E232" s="7"/>
      <c r="G232" s="9"/>
    </row>
    <row r="233" spans="2:7" ht="14.25" customHeight="1">
      <c r="B233" s="7"/>
      <c r="E233" s="7"/>
      <c r="G233" s="9"/>
    </row>
    <row r="234" spans="2:7" ht="14.25" customHeight="1">
      <c r="B234" s="7"/>
      <c r="E234" s="7"/>
      <c r="G234" s="9"/>
    </row>
    <row r="235" spans="2:7" ht="14.25" customHeight="1">
      <c r="B235" s="7"/>
      <c r="E235" s="7"/>
      <c r="G235" s="9"/>
    </row>
    <row r="236" spans="2:7" ht="14.25" customHeight="1">
      <c r="B236" s="7"/>
      <c r="E236" s="7"/>
      <c r="G236" s="9"/>
    </row>
    <row r="237" spans="2:7" ht="14.25" customHeight="1">
      <c r="B237" s="7"/>
      <c r="E237" s="7"/>
      <c r="G237" s="9"/>
    </row>
    <row r="238" spans="2:7" ht="14.25" customHeight="1">
      <c r="B238" s="7"/>
      <c r="E238" s="7"/>
      <c r="G238" s="9"/>
    </row>
    <row r="239" spans="2:7" ht="14.25" customHeight="1">
      <c r="B239" s="7"/>
      <c r="E239" s="7"/>
      <c r="G239" s="9"/>
    </row>
    <row r="240" spans="2:7" ht="14.25" customHeight="1">
      <c r="B240" s="7"/>
      <c r="E240" s="7"/>
      <c r="G240" s="9"/>
    </row>
    <row r="241" spans="2:7" ht="14.25" customHeight="1">
      <c r="B241" s="7"/>
      <c r="E241" s="7"/>
      <c r="G241" s="9"/>
    </row>
    <row r="242" spans="2:7" ht="14.25" customHeight="1">
      <c r="B242" s="7"/>
      <c r="E242" s="7"/>
      <c r="G242" s="9"/>
    </row>
    <row r="243" spans="2:7" ht="14.25" customHeight="1">
      <c r="B243" s="7"/>
      <c r="E243" s="7"/>
      <c r="G243" s="9"/>
    </row>
    <row r="244" spans="2:7" ht="14.25" customHeight="1">
      <c r="B244" s="7"/>
      <c r="E244" s="7"/>
      <c r="G244" s="9"/>
    </row>
    <row r="245" spans="2:7" ht="14.25" customHeight="1">
      <c r="B245" s="7"/>
      <c r="E245" s="7"/>
      <c r="G245" s="9"/>
    </row>
    <row r="246" spans="2:7" ht="14.25" customHeight="1">
      <c r="B246" s="7"/>
      <c r="E246" s="7"/>
      <c r="G246" s="9"/>
    </row>
    <row r="247" spans="2:7" ht="14.25" customHeight="1">
      <c r="B247" s="7"/>
      <c r="E247" s="7"/>
      <c r="G247" s="9"/>
    </row>
    <row r="248" spans="2:7" ht="14.25" customHeight="1">
      <c r="B248" s="7"/>
      <c r="E248" s="7"/>
      <c r="G248" s="9"/>
    </row>
    <row r="249" spans="2:7" ht="14.25" customHeight="1">
      <c r="B249" s="7"/>
      <c r="E249" s="7"/>
      <c r="G249" s="9"/>
    </row>
    <row r="250" spans="2:7" ht="14.25" customHeight="1">
      <c r="B250" s="7"/>
      <c r="E250" s="7"/>
      <c r="G250" s="9"/>
    </row>
    <row r="251" spans="2:7" ht="14.25" customHeight="1">
      <c r="B251" s="7"/>
      <c r="E251" s="7"/>
      <c r="G251" s="9"/>
    </row>
    <row r="252" spans="2:7" ht="14.25" customHeight="1">
      <c r="B252" s="7"/>
      <c r="E252" s="7"/>
      <c r="G252" s="9"/>
    </row>
    <row r="253" spans="2:7" ht="14.25" customHeight="1">
      <c r="B253" s="7"/>
      <c r="E253" s="7"/>
      <c r="G253" s="9"/>
    </row>
    <row r="254" spans="2:7" ht="14.25" customHeight="1">
      <c r="B254" s="7"/>
      <c r="E254" s="7"/>
      <c r="G254" s="9"/>
    </row>
    <row r="255" spans="2:7" ht="14.25" customHeight="1">
      <c r="B255" s="7"/>
      <c r="E255" s="7"/>
      <c r="G255" s="9"/>
    </row>
    <row r="256" spans="2:7" ht="14.25" customHeight="1">
      <c r="B256" s="7"/>
      <c r="E256" s="7"/>
      <c r="G256" s="9"/>
    </row>
    <row r="257" spans="2:7" ht="14.25" customHeight="1">
      <c r="B257" s="7"/>
      <c r="E257" s="7"/>
      <c r="G257" s="9"/>
    </row>
    <row r="258" spans="2:7" ht="14.25" customHeight="1">
      <c r="B258" s="7"/>
      <c r="E258" s="7"/>
      <c r="G258" s="9"/>
    </row>
    <row r="259" spans="2:7" ht="14.25" customHeight="1">
      <c r="B259" s="7"/>
      <c r="E259" s="7"/>
      <c r="G259" s="9"/>
    </row>
    <row r="260" spans="2:7" ht="14.25" customHeight="1">
      <c r="B260" s="7"/>
      <c r="E260" s="7"/>
      <c r="G260" s="9"/>
    </row>
    <row r="261" spans="2:7" ht="14.25" customHeight="1">
      <c r="B261" s="7"/>
      <c r="E261" s="7"/>
      <c r="G261" s="9"/>
    </row>
    <row r="262" spans="2:7" ht="14.25" customHeight="1">
      <c r="B262" s="7"/>
      <c r="E262" s="7"/>
      <c r="G262" s="9"/>
    </row>
    <row r="263" spans="2:7" ht="14.25" customHeight="1">
      <c r="B263" s="7"/>
      <c r="E263" s="7"/>
      <c r="G263" s="9"/>
    </row>
    <row r="264" spans="2:7" ht="14.25" customHeight="1">
      <c r="B264" s="7"/>
      <c r="E264" s="7"/>
      <c r="G264" s="9"/>
    </row>
    <row r="265" spans="2:7" ht="14.25" customHeight="1">
      <c r="B265" s="7"/>
      <c r="E265" s="7"/>
      <c r="G265" s="9"/>
    </row>
    <row r="266" spans="2:7" ht="14.25" customHeight="1">
      <c r="B266" s="7"/>
      <c r="E266" s="7"/>
      <c r="G266" s="9"/>
    </row>
    <row r="267" spans="2:7" ht="14.25" customHeight="1">
      <c r="B267" s="7"/>
      <c r="E267" s="7"/>
      <c r="G267" s="9"/>
    </row>
    <row r="268" spans="2:7" ht="14.25" customHeight="1">
      <c r="B268" s="7"/>
      <c r="E268" s="7"/>
      <c r="G268" s="9"/>
    </row>
    <row r="269" spans="2:7" ht="14.25" customHeight="1">
      <c r="B269" s="7"/>
      <c r="E269" s="7"/>
      <c r="G269" s="9"/>
    </row>
    <row r="270" spans="2:7" ht="14.25" customHeight="1">
      <c r="B270" s="7"/>
      <c r="E270" s="7"/>
      <c r="G270" s="9"/>
    </row>
    <row r="271" spans="2:7" ht="14.25" customHeight="1">
      <c r="B271" s="7"/>
      <c r="E271" s="7"/>
      <c r="G271" s="9"/>
    </row>
    <row r="272" spans="2:7" ht="14.25" customHeight="1">
      <c r="B272" s="7"/>
      <c r="E272" s="7"/>
      <c r="G272" s="9"/>
    </row>
    <row r="273" spans="2:7" ht="14.25" customHeight="1">
      <c r="B273" s="7"/>
      <c r="E273" s="7"/>
      <c r="G273" s="9"/>
    </row>
    <row r="274" spans="2:7" ht="14.25" customHeight="1">
      <c r="B274" s="7"/>
      <c r="E274" s="7"/>
      <c r="G274" s="9"/>
    </row>
    <row r="275" spans="2:7" ht="14.25" customHeight="1">
      <c r="B275" s="7"/>
      <c r="E275" s="7"/>
      <c r="G275" s="9"/>
    </row>
    <row r="276" spans="2:7" ht="14.25" customHeight="1">
      <c r="B276" s="7"/>
      <c r="E276" s="7"/>
      <c r="G276" s="9"/>
    </row>
    <row r="277" spans="2:7" ht="14.25" customHeight="1">
      <c r="B277" s="7"/>
      <c r="E277" s="7"/>
      <c r="G277" s="9"/>
    </row>
    <row r="278" spans="2:7" ht="14.25" customHeight="1">
      <c r="B278" s="7"/>
      <c r="E278" s="7"/>
      <c r="G278" s="9"/>
    </row>
    <row r="279" spans="2:7" ht="14.25" customHeight="1">
      <c r="B279" s="7"/>
      <c r="E279" s="7"/>
      <c r="G279" s="9"/>
    </row>
    <row r="280" spans="2:7" ht="14.25" customHeight="1">
      <c r="B280" s="7"/>
      <c r="E280" s="7"/>
      <c r="G280" s="9"/>
    </row>
    <row r="281" spans="2:7" ht="14.25" customHeight="1">
      <c r="B281" s="7"/>
      <c r="E281" s="7"/>
      <c r="G281" s="9"/>
    </row>
    <row r="282" spans="2:7" ht="14.25" customHeight="1">
      <c r="B282" s="7"/>
      <c r="E282" s="7"/>
      <c r="G282" s="9"/>
    </row>
    <row r="283" spans="2:7" ht="14.25" customHeight="1">
      <c r="B283" s="7"/>
      <c r="E283" s="7"/>
      <c r="G283" s="9"/>
    </row>
    <row r="284" spans="2:7" ht="14.25" customHeight="1">
      <c r="B284" s="7"/>
      <c r="E284" s="7"/>
      <c r="G284" s="9"/>
    </row>
    <row r="285" spans="2:7" ht="14.25" customHeight="1">
      <c r="B285" s="7"/>
      <c r="E285" s="7"/>
      <c r="G285" s="9"/>
    </row>
    <row r="286" spans="2:7" ht="14.25" customHeight="1">
      <c r="B286" s="7"/>
      <c r="E286" s="7"/>
      <c r="G286" s="9"/>
    </row>
    <row r="287" spans="2:7" ht="14.25" customHeight="1">
      <c r="B287" s="7"/>
      <c r="E287" s="7"/>
      <c r="G287" s="9"/>
    </row>
    <row r="288" spans="2:7" ht="14.25" customHeight="1">
      <c r="B288" s="7"/>
      <c r="E288" s="7"/>
      <c r="G288" s="9"/>
    </row>
    <row r="289" spans="2:7" ht="14.25" customHeight="1">
      <c r="B289" s="7"/>
      <c r="E289" s="7"/>
      <c r="G289" s="9"/>
    </row>
    <row r="290" spans="2:7" ht="14.25" customHeight="1">
      <c r="B290" s="7"/>
      <c r="E290" s="7"/>
      <c r="G290" s="9"/>
    </row>
    <row r="291" spans="2:7" ht="14.25" customHeight="1">
      <c r="B291" s="7"/>
      <c r="E291" s="7"/>
      <c r="G291" s="9"/>
    </row>
    <row r="292" spans="2:7" ht="14.25" customHeight="1">
      <c r="B292" s="7"/>
      <c r="E292" s="7"/>
      <c r="G292" s="9"/>
    </row>
    <row r="293" spans="2:7" ht="14.25" customHeight="1">
      <c r="B293" s="7"/>
      <c r="E293" s="7"/>
      <c r="G293" s="9"/>
    </row>
    <row r="294" spans="2:7" ht="14.25" customHeight="1">
      <c r="B294" s="7"/>
      <c r="E294" s="7"/>
      <c r="G294" s="9"/>
    </row>
    <row r="295" spans="2:7" ht="14.25" customHeight="1">
      <c r="B295" s="7"/>
      <c r="E295" s="7"/>
      <c r="G295" s="9"/>
    </row>
    <row r="296" spans="2:7" ht="14.25" customHeight="1">
      <c r="B296" s="7"/>
      <c r="E296" s="7"/>
      <c r="G296" s="9"/>
    </row>
    <row r="297" spans="2:7" ht="14.25" customHeight="1">
      <c r="B297" s="7"/>
      <c r="E297" s="7"/>
      <c r="G297" s="9"/>
    </row>
    <row r="298" spans="2:7" ht="14.25" customHeight="1">
      <c r="B298" s="7"/>
      <c r="E298" s="7"/>
      <c r="G298" s="9"/>
    </row>
    <row r="299" spans="2:7" ht="14.25" customHeight="1">
      <c r="B299" s="7"/>
      <c r="E299" s="7"/>
      <c r="G299" s="9"/>
    </row>
    <row r="300" spans="2:7" ht="14.25" customHeight="1">
      <c r="B300" s="7"/>
      <c r="E300" s="7"/>
      <c r="G300" s="9"/>
    </row>
    <row r="301" spans="2:7" ht="14.25" customHeight="1">
      <c r="B301" s="7"/>
      <c r="E301" s="7"/>
      <c r="G301" s="9"/>
    </row>
    <row r="302" spans="2:7" ht="14.25" customHeight="1">
      <c r="B302" s="7"/>
      <c r="E302" s="7"/>
      <c r="G302" s="9"/>
    </row>
    <row r="303" spans="2:7" ht="14.25" customHeight="1">
      <c r="B303" s="7"/>
      <c r="E303" s="7"/>
      <c r="G303" s="9"/>
    </row>
    <row r="304" spans="2:7" ht="14.25" customHeight="1">
      <c r="B304" s="7"/>
      <c r="E304" s="7"/>
      <c r="G304" s="9"/>
    </row>
    <row r="305" spans="2:7" ht="14.25" customHeight="1">
      <c r="B305" s="7"/>
      <c r="E305" s="7"/>
      <c r="G305" s="9"/>
    </row>
    <row r="306" spans="2:7" ht="14.25" customHeight="1">
      <c r="B306" s="7"/>
      <c r="E306" s="7"/>
      <c r="G306" s="9"/>
    </row>
    <row r="307" spans="2:7" ht="14.25" customHeight="1">
      <c r="B307" s="7"/>
      <c r="E307" s="7"/>
      <c r="G307" s="9"/>
    </row>
    <row r="308" spans="2:7" ht="14.25" customHeight="1">
      <c r="B308" s="7"/>
      <c r="E308" s="7"/>
      <c r="G308" s="9"/>
    </row>
    <row r="309" spans="2:7" ht="14.25" customHeight="1">
      <c r="B309" s="7"/>
      <c r="E309" s="7"/>
      <c r="G309" s="9"/>
    </row>
    <row r="310" spans="2:7" ht="14.25" customHeight="1">
      <c r="B310" s="7"/>
      <c r="E310" s="7"/>
      <c r="G310" s="9"/>
    </row>
    <row r="311" spans="2:7" ht="14.25" customHeight="1">
      <c r="B311" s="7"/>
      <c r="E311" s="7"/>
      <c r="G311" s="9"/>
    </row>
    <row r="312" spans="2:7" ht="14.25" customHeight="1">
      <c r="B312" s="7"/>
      <c r="E312" s="7"/>
      <c r="G312" s="9"/>
    </row>
    <row r="313" spans="2:7" ht="14.25" customHeight="1">
      <c r="B313" s="7"/>
      <c r="E313" s="7"/>
      <c r="G313" s="9"/>
    </row>
    <row r="314" spans="2:7" ht="14.25" customHeight="1">
      <c r="B314" s="7"/>
      <c r="E314" s="7"/>
      <c r="G314" s="9"/>
    </row>
    <row r="315" spans="2:7" ht="14.25" customHeight="1">
      <c r="B315" s="7"/>
      <c r="E315" s="7"/>
      <c r="G315" s="9"/>
    </row>
    <row r="316" spans="2:7" ht="14.25" customHeight="1">
      <c r="B316" s="7"/>
      <c r="E316" s="7"/>
      <c r="G316" s="9"/>
    </row>
    <row r="317" spans="2:7" ht="14.25" customHeight="1">
      <c r="B317" s="7"/>
      <c r="E317" s="7"/>
      <c r="G317" s="9"/>
    </row>
    <row r="318" spans="2:7" ht="14.25" customHeight="1">
      <c r="B318" s="7"/>
      <c r="E318" s="7"/>
      <c r="G318" s="9"/>
    </row>
    <row r="319" spans="2:7" ht="14.25" customHeight="1">
      <c r="B319" s="7"/>
      <c r="E319" s="7"/>
      <c r="G319" s="9"/>
    </row>
    <row r="320" spans="2:7" ht="14.25" customHeight="1">
      <c r="B320" s="7"/>
      <c r="E320" s="7"/>
      <c r="G320" s="9"/>
    </row>
    <row r="321" spans="2:7" ht="14.25" customHeight="1">
      <c r="B321" s="7"/>
      <c r="E321" s="7"/>
      <c r="G321" s="9"/>
    </row>
    <row r="322" spans="2:7" ht="14.25" customHeight="1">
      <c r="B322" s="7"/>
      <c r="E322" s="7"/>
      <c r="G322" s="9"/>
    </row>
    <row r="323" spans="2:7" ht="14.25" customHeight="1">
      <c r="B323" s="7"/>
      <c r="E323" s="7"/>
      <c r="G323" s="9"/>
    </row>
    <row r="324" spans="2:7" ht="14.25" customHeight="1">
      <c r="B324" s="7"/>
      <c r="E324" s="7"/>
      <c r="G324" s="9"/>
    </row>
    <row r="325" spans="2:7" ht="14.25" customHeight="1">
      <c r="B325" s="7"/>
      <c r="E325" s="7"/>
      <c r="G325" s="9"/>
    </row>
    <row r="326" spans="2:7" ht="14.25" customHeight="1">
      <c r="B326" s="7"/>
      <c r="E326" s="7"/>
      <c r="G326" s="9"/>
    </row>
    <row r="327" spans="2:7" ht="14.25" customHeight="1">
      <c r="B327" s="7"/>
      <c r="E327" s="7"/>
      <c r="G327" s="9"/>
    </row>
    <row r="328" spans="2:7" ht="14.25" customHeight="1">
      <c r="B328" s="7"/>
      <c r="E328" s="7"/>
      <c r="G328" s="9"/>
    </row>
    <row r="329" spans="2:7" ht="14.25" customHeight="1">
      <c r="B329" s="7"/>
      <c r="E329" s="7"/>
      <c r="G329" s="9"/>
    </row>
    <row r="330" spans="2:7" ht="14.25" customHeight="1">
      <c r="B330" s="7"/>
      <c r="E330" s="7"/>
      <c r="G330" s="9"/>
    </row>
    <row r="331" spans="2:7" ht="14.25" customHeight="1">
      <c r="B331" s="7"/>
      <c r="E331" s="7"/>
      <c r="G331" s="9"/>
    </row>
    <row r="332" spans="2:7" ht="14.25" customHeight="1">
      <c r="B332" s="7"/>
      <c r="E332" s="7"/>
      <c r="G332" s="9"/>
    </row>
    <row r="333" spans="2:7" ht="14.25" customHeight="1">
      <c r="B333" s="7"/>
      <c r="E333" s="7"/>
      <c r="G333" s="9"/>
    </row>
    <row r="334" spans="2:7" ht="14.25" customHeight="1">
      <c r="B334" s="7"/>
      <c r="E334" s="7"/>
      <c r="G334" s="9"/>
    </row>
    <row r="335" spans="2:7" ht="14.25" customHeight="1">
      <c r="B335" s="7"/>
      <c r="E335" s="7"/>
      <c r="G335" s="9"/>
    </row>
    <row r="336" spans="2:7" ht="14.25" customHeight="1">
      <c r="B336" s="7"/>
      <c r="E336" s="7"/>
      <c r="G336" s="9"/>
    </row>
    <row r="337" spans="2:7" ht="14.25" customHeight="1">
      <c r="B337" s="7"/>
      <c r="E337" s="7"/>
      <c r="G337" s="9"/>
    </row>
    <row r="338" spans="2:7" ht="14.25" customHeight="1">
      <c r="B338" s="7"/>
      <c r="E338" s="7"/>
      <c r="G338" s="9"/>
    </row>
    <row r="339" spans="2:7" ht="14.25" customHeight="1">
      <c r="B339" s="7"/>
      <c r="E339" s="7"/>
      <c r="G339" s="9"/>
    </row>
    <row r="340" spans="2:7" ht="14.25" customHeight="1">
      <c r="B340" s="7"/>
      <c r="E340" s="7"/>
      <c r="G340" s="9"/>
    </row>
    <row r="341" spans="2:7" ht="14.25" customHeight="1">
      <c r="B341" s="7"/>
      <c r="E341" s="7"/>
      <c r="G341" s="9"/>
    </row>
    <row r="342" spans="2:7" ht="14.25" customHeight="1">
      <c r="B342" s="7"/>
      <c r="E342" s="7"/>
      <c r="G342" s="9"/>
    </row>
    <row r="343" spans="2:7" ht="14.25" customHeight="1">
      <c r="B343" s="7"/>
      <c r="E343" s="7"/>
      <c r="G343" s="9"/>
    </row>
    <row r="344" spans="2:7" ht="14.25" customHeight="1">
      <c r="B344" s="7"/>
      <c r="E344" s="7"/>
      <c r="G344" s="9"/>
    </row>
    <row r="345" spans="2:7" ht="14.25" customHeight="1">
      <c r="B345" s="7"/>
      <c r="E345" s="7"/>
      <c r="G345" s="9"/>
    </row>
    <row r="346" spans="2:7" ht="14.25" customHeight="1">
      <c r="B346" s="7"/>
      <c r="E346" s="7"/>
      <c r="G346" s="9"/>
    </row>
    <row r="347" spans="2:7" ht="14.25" customHeight="1">
      <c r="B347" s="7"/>
      <c r="E347" s="7"/>
      <c r="G347" s="9"/>
    </row>
    <row r="348" spans="2:7" ht="14.25" customHeight="1">
      <c r="B348" s="7"/>
      <c r="E348" s="7"/>
      <c r="G348" s="9"/>
    </row>
    <row r="349" spans="2:7" ht="14.25" customHeight="1">
      <c r="B349" s="7"/>
      <c r="E349" s="7"/>
      <c r="G349" s="9"/>
    </row>
    <row r="350" spans="2:7" ht="14.25" customHeight="1">
      <c r="B350" s="7"/>
      <c r="E350" s="7"/>
      <c r="G350" s="9"/>
    </row>
    <row r="351" spans="2:7" ht="14.25" customHeight="1">
      <c r="B351" s="7"/>
      <c r="E351" s="7"/>
      <c r="G351" s="9"/>
    </row>
    <row r="352" spans="2:7" ht="14.25" customHeight="1">
      <c r="B352" s="7"/>
      <c r="E352" s="7"/>
      <c r="G352" s="9"/>
    </row>
    <row r="353" spans="2:7" ht="14.25" customHeight="1">
      <c r="B353" s="7"/>
      <c r="E353" s="7"/>
      <c r="G353" s="9"/>
    </row>
    <row r="354" spans="2:7" ht="14.25" customHeight="1">
      <c r="B354" s="7"/>
      <c r="E354" s="7"/>
      <c r="G354" s="9"/>
    </row>
    <row r="355" spans="2:7" ht="14.25" customHeight="1">
      <c r="B355" s="7"/>
      <c r="E355" s="7"/>
      <c r="G355" s="9"/>
    </row>
    <row r="356" spans="2:7" ht="14.25" customHeight="1">
      <c r="B356" s="7"/>
      <c r="E356" s="7"/>
      <c r="G356" s="9"/>
    </row>
    <row r="357" spans="2:7" ht="14.25" customHeight="1">
      <c r="B357" s="7"/>
      <c r="E357" s="7"/>
      <c r="G357" s="9"/>
    </row>
    <row r="358" spans="2:7" ht="14.25" customHeight="1">
      <c r="B358" s="7"/>
      <c r="E358" s="7"/>
      <c r="G358" s="9"/>
    </row>
    <row r="359" spans="2:7" ht="14.25" customHeight="1">
      <c r="B359" s="7"/>
      <c r="E359" s="7"/>
      <c r="G359" s="9"/>
    </row>
    <row r="360" spans="2:7" ht="14.25" customHeight="1">
      <c r="B360" s="7"/>
      <c r="E360" s="7"/>
      <c r="G360" s="9"/>
    </row>
    <row r="361" spans="2:7" ht="14.25" customHeight="1">
      <c r="B361" s="7"/>
      <c r="E361" s="7"/>
      <c r="G361" s="9"/>
    </row>
    <row r="362" spans="2:7" ht="14.25" customHeight="1">
      <c r="B362" s="7"/>
      <c r="E362" s="7"/>
      <c r="G362" s="9"/>
    </row>
    <row r="363" spans="2:7" ht="14.25" customHeight="1">
      <c r="B363" s="7"/>
      <c r="E363" s="7"/>
      <c r="G363" s="9"/>
    </row>
    <row r="364" spans="2:7" ht="14.25" customHeight="1">
      <c r="B364" s="7"/>
      <c r="E364" s="7"/>
      <c r="G364" s="9"/>
    </row>
    <row r="365" spans="2:7" ht="14.25" customHeight="1">
      <c r="B365" s="7"/>
      <c r="E365" s="7"/>
      <c r="G365" s="9"/>
    </row>
    <row r="366" spans="2:7" ht="14.25" customHeight="1">
      <c r="B366" s="7"/>
      <c r="E366" s="7"/>
      <c r="G366" s="9"/>
    </row>
    <row r="367" spans="2:7" ht="14.25" customHeight="1">
      <c r="B367" s="7"/>
      <c r="E367" s="7"/>
      <c r="G367" s="9"/>
    </row>
    <row r="368" spans="2:7" ht="14.25" customHeight="1">
      <c r="B368" s="7"/>
      <c r="E368" s="7"/>
      <c r="G368" s="9"/>
    </row>
    <row r="369" spans="2:7" ht="14.25" customHeight="1">
      <c r="B369" s="7"/>
      <c r="E369" s="7"/>
      <c r="G369" s="9"/>
    </row>
    <row r="370" spans="2:7" ht="14.25" customHeight="1">
      <c r="B370" s="7"/>
      <c r="E370" s="7"/>
      <c r="G370" s="9"/>
    </row>
    <row r="371" spans="2:7" ht="14.25" customHeight="1">
      <c r="B371" s="7"/>
      <c r="E371" s="7"/>
      <c r="G371" s="9"/>
    </row>
    <row r="372" spans="2:7" ht="14.25" customHeight="1">
      <c r="B372" s="7"/>
      <c r="E372" s="7"/>
      <c r="G372" s="9"/>
    </row>
    <row r="373" spans="2:7" ht="14.25" customHeight="1">
      <c r="B373" s="7"/>
      <c r="E373" s="7"/>
      <c r="G373" s="9"/>
    </row>
    <row r="374" spans="2:7" ht="14.25" customHeight="1">
      <c r="B374" s="7"/>
      <c r="E374" s="7"/>
      <c r="G374" s="9"/>
    </row>
    <row r="375" spans="2:7" ht="14.25" customHeight="1">
      <c r="B375" s="7"/>
      <c r="E375" s="7"/>
      <c r="G375" s="9"/>
    </row>
    <row r="376" spans="2:7" ht="14.25" customHeight="1">
      <c r="B376" s="7"/>
      <c r="E376" s="7"/>
      <c r="G376" s="9"/>
    </row>
    <row r="377" spans="2:7" ht="14.25" customHeight="1">
      <c r="B377" s="7"/>
      <c r="E377" s="7"/>
      <c r="G377" s="9"/>
    </row>
    <row r="378" spans="2:7" ht="14.25" customHeight="1">
      <c r="B378" s="7"/>
      <c r="E378" s="7"/>
      <c r="G378" s="9"/>
    </row>
    <row r="379" spans="2:7" ht="14.25" customHeight="1">
      <c r="B379" s="7"/>
      <c r="E379" s="7"/>
      <c r="G379" s="9"/>
    </row>
    <row r="380" spans="2:7" ht="14.25" customHeight="1">
      <c r="B380" s="7"/>
      <c r="E380" s="7"/>
      <c r="G380" s="9"/>
    </row>
    <row r="381" spans="2:7" ht="14.25" customHeight="1">
      <c r="B381" s="7"/>
      <c r="E381" s="7"/>
      <c r="G381" s="9"/>
    </row>
    <row r="382" spans="2:7" ht="14.25" customHeight="1">
      <c r="B382" s="7"/>
      <c r="E382" s="7"/>
      <c r="G382" s="9"/>
    </row>
    <row r="383" spans="2:7" ht="14.25" customHeight="1">
      <c r="B383" s="7"/>
      <c r="E383" s="7"/>
      <c r="G383" s="9"/>
    </row>
    <row r="384" spans="2:7" ht="14.25" customHeight="1">
      <c r="B384" s="7"/>
      <c r="E384" s="7"/>
      <c r="G384" s="9"/>
    </row>
    <row r="385" spans="2:7" ht="14.25" customHeight="1">
      <c r="B385" s="7"/>
      <c r="E385" s="7"/>
      <c r="G385" s="9"/>
    </row>
    <row r="386" spans="2:7" ht="14.25" customHeight="1">
      <c r="B386" s="7"/>
      <c r="E386" s="7"/>
      <c r="G386" s="9"/>
    </row>
    <row r="387" spans="2:7" ht="14.25" customHeight="1">
      <c r="B387" s="7"/>
      <c r="E387" s="7"/>
      <c r="G387" s="9"/>
    </row>
    <row r="388" spans="2:7" ht="14.25" customHeight="1">
      <c r="B388" s="7"/>
      <c r="E388" s="7"/>
      <c r="G388" s="9"/>
    </row>
    <row r="389" spans="2:7" ht="14.25" customHeight="1">
      <c r="B389" s="7"/>
      <c r="E389" s="7"/>
      <c r="G389" s="9"/>
    </row>
    <row r="390" spans="2:7" ht="14.25" customHeight="1">
      <c r="B390" s="7"/>
      <c r="E390" s="7"/>
      <c r="G390" s="9"/>
    </row>
    <row r="391" spans="2:7" ht="14.25" customHeight="1">
      <c r="B391" s="7"/>
      <c r="E391" s="7"/>
      <c r="G391" s="9"/>
    </row>
    <row r="392" spans="2:7" ht="14.25" customHeight="1">
      <c r="B392" s="7"/>
      <c r="E392" s="7"/>
      <c r="G392" s="9"/>
    </row>
    <row r="393" spans="2:7" ht="14.25" customHeight="1">
      <c r="B393" s="7"/>
      <c r="E393" s="7"/>
      <c r="G393" s="9"/>
    </row>
    <row r="394" spans="2:7" ht="14.25" customHeight="1">
      <c r="B394" s="7"/>
      <c r="E394" s="7"/>
      <c r="G394" s="9"/>
    </row>
    <row r="395" spans="2:7" ht="14.25" customHeight="1">
      <c r="B395" s="7"/>
      <c r="E395" s="7"/>
      <c r="G395" s="9"/>
    </row>
    <row r="396" spans="2:7" ht="14.25" customHeight="1">
      <c r="B396" s="7"/>
      <c r="E396" s="7"/>
      <c r="G396" s="9"/>
    </row>
    <row r="397" spans="2:7" ht="14.25" customHeight="1">
      <c r="B397" s="7"/>
      <c r="E397" s="7"/>
      <c r="G397" s="9"/>
    </row>
    <row r="398" spans="2:7" ht="14.25" customHeight="1">
      <c r="B398" s="7"/>
      <c r="E398" s="7"/>
      <c r="G398" s="9"/>
    </row>
    <row r="399" spans="2:7" ht="14.25" customHeight="1">
      <c r="B399" s="7"/>
      <c r="E399" s="7"/>
      <c r="G399" s="9"/>
    </row>
    <row r="400" spans="2:7" ht="14.25" customHeight="1">
      <c r="B400" s="7"/>
      <c r="E400" s="7"/>
      <c r="G400" s="9"/>
    </row>
    <row r="401" spans="2:7" ht="14.25" customHeight="1">
      <c r="B401" s="7"/>
      <c r="E401" s="7"/>
      <c r="G401" s="9"/>
    </row>
    <row r="402" spans="2:7" ht="14.25" customHeight="1">
      <c r="B402" s="7"/>
      <c r="E402" s="7"/>
      <c r="G402" s="9"/>
    </row>
    <row r="403" spans="2:7" ht="14.25" customHeight="1">
      <c r="B403" s="7"/>
      <c r="E403" s="7"/>
      <c r="G403" s="9"/>
    </row>
    <row r="404" spans="2:7" ht="14.25" customHeight="1">
      <c r="B404" s="7"/>
      <c r="E404" s="7"/>
      <c r="G404" s="9"/>
    </row>
    <row r="405" spans="2:7" ht="14.25" customHeight="1">
      <c r="B405" s="7"/>
      <c r="E405" s="7"/>
      <c r="G405" s="9"/>
    </row>
    <row r="406" spans="2:7" ht="14.25" customHeight="1">
      <c r="B406" s="7"/>
      <c r="E406" s="7"/>
      <c r="G406" s="9"/>
    </row>
    <row r="407" spans="2:7" ht="14.25" customHeight="1">
      <c r="B407" s="7"/>
      <c r="E407" s="7"/>
      <c r="G407" s="9"/>
    </row>
    <row r="408" spans="2:7" ht="14.25" customHeight="1">
      <c r="B408" s="7"/>
      <c r="E408" s="7"/>
      <c r="G408" s="9"/>
    </row>
    <row r="409" spans="2:7" ht="14.25" customHeight="1">
      <c r="B409" s="7"/>
      <c r="E409" s="7"/>
      <c r="G409" s="9"/>
    </row>
    <row r="410" spans="2:7" ht="14.25" customHeight="1">
      <c r="B410" s="7"/>
      <c r="E410" s="7"/>
      <c r="G410" s="9"/>
    </row>
    <row r="411" spans="2:7" ht="14.25" customHeight="1">
      <c r="B411" s="7"/>
      <c r="E411" s="7"/>
      <c r="G411" s="9"/>
    </row>
    <row r="412" spans="2:7" ht="14.25" customHeight="1">
      <c r="B412" s="7"/>
      <c r="E412" s="7"/>
      <c r="G412" s="9"/>
    </row>
    <row r="413" spans="2:7" ht="14.25" customHeight="1">
      <c r="B413" s="7"/>
      <c r="E413" s="7"/>
      <c r="G413" s="9"/>
    </row>
    <row r="414" spans="2:7" ht="14.25" customHeight="1">
      <c r="B414" s="7"/>
      <c r="E414" s="7"/>
      <c r="G414" s="9"/>
    </row>
    <row r="415" spans="2:7" ht="14.25" customHeight="1">
      <c r="B415" s="7"/>
      <c r="E415" s="7"/>
      <c r="G415" s="9"/>
    </row>
    <row r="416" spans="2:7" ht="14.25" customHeight="1">
      <c r="B416" s="7"/>
      <c r="E416" s="7"/>
      <c r="G416" s="9"/>
    </row>
    <row r="417" spans="2:7" ht="14.25" customHeight="1">
      <c r="B417" s="7"/>
      <c r="E417" s="7"/>
      <c r="G417" s="9"/>
    </row>
    <row r="418" spans="2:7" ht="14.25" customHeight="1">
      <c r="B418" s="7"/>
      <c r="E418" s="7"/>
      <c r="G418" s="9"/>
    </row>
    <row r="419" spans="2:7" ht="14.25" customHeight="1">
      <c r="B419" s="7"/>
      <c r="E419" s="7"/>
      <c r="G419" s="9"/>
    </row>
    <row r="420" spans="2:7" ht="14.25" customHeight="1">
      <c r="B420" s="7"/>
      <c r="E420" s="7"/>
      <c r="G420" s="9"/>
    </row>
    <row r="421" spans="2:7" ht="14.25" customHeight="1">
      <c r="B421" s="7"/>
      <c r="E421" s="7"/>
      <c r="G421" s="9"/>
    </row>
    <row r="422" spans="2:7" ht="14.25" customHeight="1">
      <c r="B422" s="7"/>
      <c r="E422" s="7"/>
      <c r="G422" s="9"/>
    </row>
    <row r="423" spans="2:7" ht="14.25" customHeight="1">
      <c r="B423" s="7"/>
      <c r="E423" s="7"/>
      <c r="G423" s="9"/>
    </row>
    <row r="424" spans="2:7" ht="14.25" customHeight="1">
      <c r="B424" s="7"/>
      <c r="E424" s="7"/>
      <c r="G424" s="9"/>
    </row>
    <row r="425" spans="2:7" ht="14.25" customHeight="1">
      <c r="B425" s="7"/>
      <c r="E425" s="7"/>
      <c r="G425" s="9"/>
    </row>
    <row r="426" spans="2:7" ht="14.25" customHeight="1">
      <c r="B426" s="7"/>
      <c r="E426" s="7"/>
      <c r="G426" s="9"/>
    </row>
    <row r="427" spans="2:7" ht="14.25" customHeight="1">
      <c r="B427" s="7"/>
      <c r="E427" s="7"/>
      <c r="G427" s="9"/>
    </row>
    <row r="428" spans="2:7" ht="14.25" customHeight="1">
      <c r="B428" s="7"/>
      <c r="E428" s="7"/>
      <c r="G428" s="9"/>
    </row>
    <row r="429" spans="2:7" ht="14.25" customHeight="1">
      <c r="B429" s="7"/>
      <c r="E429" s="7"/>
      <c r="G429" s="9"/>
    </row>
    <row r="430" spans="2:7" ht="14.25" customHeight="1">
      <c r="B430" s="7"/>
      <c r="E430" s="7"/>
      <c r="G430" s="9"/>
    </row>
    <row r="431" spans="2:7" ht="14.25" customHeight="1">
      <c r="B431" s="7"/>
      <c r="E431" s="7"/>
      <c r="G431" s="9"/>
    </row>
    <row r="432" spans="2:7" ht="14.25" customHeight="1">
      <c r="B432" s="7"/>
      <c r="E432" s="7"/>
      <c r="G432" s="9"/>
    </row>
    <row r="433" spans="2:7" ht="14.25" customHeight="1">
      <c r="B433" s="7"/>
      <c r="E433" s="7"/>
      <c r="G433" s="9"/>
    </row>
    <row r="434" spans="2:7" ht="14.25" customHeight="1">
      <c r="B434" s="7"/>
      <c r="E434" s="7"/>
      <c r="G434" s="9"/>
    </row>
    <row r="435" spans="2:7" ht="14.25" customHeight="1">
      <c r="B435" s="7"/>
      <c r="E435" s="7"/>
      <c r="G435" s="9"/>
    </row>
    <row r="436" spans="2:7" ht="14.25" customHeight="1">
      <c r="B436" s="7"/>
      <c r="E436" s="7"/>
      <c r="G436" s="9"/>
    </row>
    <row r="437" spans="2:7" ht="14.25" customHeight="1">
      <c r="B437" s="7"/>
      <c r="E437" s="7"/>
      <c r="G437" s="9"/>
    </row>
    <row r="438" spans="2:7" ht="14.25" customHeight="1">
      <c r="B438" s="7"/>
      <c r="E438" s="7"/>
      <c r="G438" s="9"/>
    </row>
    <row r="439" spans="2:7" ht="14.25" customHeight="1">
      <c r="B439" s="7"/>
      <c r="E439" s="7"/>
      <c r="G439" s="9"/>
    </row>
    <row r="440" spans="2:7" ht="14.25" customHeight="1">
      <c r="B440" s="7"/>
      <c r="E440" s="7"/>
      <c r="G440" s="9"/>
    </row>
    <row r="441" spans="2:7" ht="14.25" customHeight="1">
      <c r="B441" s="7"/>
      <c r="E441" s="7"/>
      <c r="G441" s="9"/>
    </row>
    <row r="442" spans="2:7" ht="14.25" customHeight="1">
      <c r="B442" s="7"/>
      <c r="E442" s="7"/>
      <c r="G442" s="9"/>
    </row>
    <row r="443" spans="2:7" ht="14.25" customHeight="1">
      <c r="B443" s="7"/>
      <c r="E443" s="7"/>
      <c r="G443" s="9"/>
    </row>
    <row r="444" spans="2:7" ht="14.25" customHeight="1">
      <c r="B444" s="7"/>
      <c r="E444" s="7"/>
      <c r="G444" s="9"/>
    </row>
    <row r="445" spans="2:7" ht="14.25" customHeight="1">
      <c r="B445" s="7"/>
      <c r="E445" s="7"/>
      <c r="G445" s="9"/>
    </row>
    <row r="446" spans="2:7" ht="14.25" customHeight="1">
      <c r="B446" s="7"/>
      <c r="E446" s="7"/>
      <c r="G446" s="9"/>
    </row>
    <row r="447" spans="2:7" ht="14.25" customHeight="1">
      <c r="B447" s="7"/>
      <c r="E447" s="7"/>
      <c r="G447" s="9"/>
    </row>
    <row r="448" spans="2:7" ht="14.25" customHeight="1">
      <c r="B448" s="7"/>
      <c r="E448" s="7"/>
      <c r="G448" s="9"/>
    </row>
    <row r="449" spans="2:7" ht="14.25" customHeight="1">
      <c r="B449" s="7"/>
      <c r="E449" s="7"/>
      <c r="G449" s="9"/>
    </row>
    <row r="450" spans="2:7" ht="14.25" customHeight="1">
      <c r="B450" s="7"/>
      <c r="E450" s="7"/>
      <c r="G450" s="9"/>
    </row>
    <row r="451" spans="2:7" ht="14.25" customHeight="1">
      <c r="B451" s="7"/>
      <c r="E451" s="7"/>
      <c r="G451" s="9"/>
    </row>
    <row r="452" spans="2:7" ht="14.25" customHeight="1">
      <c r="B452" s="7"/>
      <c r="E452" s="7"/>
      <c r="G452" s="9"/>
    </row>
    <row r="453" spans="2:7" ht="14.25" customHeight="1">
      <c r="B453" s="7"/>
      <c r="E453" s="7"/>
      <c r="G453" s="9"/>
    </row>
    <row r="454" spans="2:7" ht="14.25" customHeight="1">
      <c r="B454" s="7"/>
      <c r="E454" s="7"/>
      <c r="G454" s="9"/>
    </row>
    <row r="455" spans="2:7" ht="14.25" customHeight="1">
      <c r="B455" s="7"/>
      <c r="E455" s="7"/>
      <c r="G455" s="9"/>
    </row>
    <row r="456" spans="2:7" ht="14.25" customHeight="1">
      <c r="B456" s="7"/>
      <c r="E456" s="7"/>
      <c r="G456" s="9"/>
    </row>
    <row r="457" spans="2:7" ht="14.25" customHeight="1">
      <c r="B457" s="7"/>
      <c r="E457" s="7"/>
      <c r="G457" s="9"/>
    </row>
    <row r="458" spans="2:7" ht="14.25" customHeight="1">
      <c r="B458" s="7"/>
      <c r="E458" s="7"/>
      <c r="G458" s="9"/>
    </row>
    <row r="459" spans="2:7" ht="14.25" customHeight="1">
      <c r="B459" s="7"/>
      <c r="E459" s="7"/>
      <c r="G459" s="9"/>
    </row>
    <row r="460" spans="2:7" ht="14.25" customHeight="1">
      <c r="B460" s="7"/>
      <c r="E460" s="7"/>
      <c r="G460" s="9"/>
    </row>
    <row r="461" spans="2:7" ht="14.25" customHeight="1">
      <c r="B461" s="7"/>
      <c r="E461" s="7"/>
      <c r="G461" s="9"/>
    </row>
    <row r="462" spans="2:7" ht="14.25" customHeight="1">
      <c r="B462" s="7"/>
      <c r="E462" s="7"/>
      <c r="G462" s="9"/>
    </row>
    <row r="463" spans="2:7" ht="14.25" customHeight="1">
      <c r="B463" s="7"/>
      <c r="E463" s="7"/>
      <c r="G463" s="9"/>
    </row>
    <row r="464" spans="2:7" ht="14.25" customHeight="1">
      <c r="B464" s="7"/>
      <c r="E464" s="7"/>
      <c r="G464" s="9"/>
    </row>
    <row r="465" spans="2:7" ht="14.25" customHeight="1">
      <c r="B465" s="7"/>
      <c r="E465" s="7"/>
      <c r="G465" s="9"/>
    </row>
    <row r="466" spans="2:7" ht="14.25" customHeight="1">
      <c r="B466" s="7"/>
      <c r="E466" s="7"/>
      <c r="G466" s="9"/>
    </row>
    <row r="467" spans="2:7" ht="14.25" customHeight="1">
      <c r="B467" s="7"/>
      <c r="E467" s="7"/>
      <c r="G467" s="9"/>
    </row>
    <row r="468" spans="2:7" ht="14.25" customHeight="1">
      <c r="B468" s="7"/>
      <c r="E468" s="7"/>
      <c r="G468" s="9"/>
    </row>
    <row r="469" spans="2:7" ht="14.25" customHeight="1">
      <c r="B469" s="7"/>
      <c r="E469" s="7"/>
      <c r="G469" s="9"/>
    </row>
    <row r="470" spans="2:7" ht="14.25" customHeight="1">
      <c r="B470" s="7"/>
      <c r="E470" s="7"/>
      <c r="G470" s="9"/>
    </row>
    <row r="471" spans="2:7" ht="14.25" customHeight="1">
      <c r="B471" s="7"/>
      <c r="E471" s="7"/>
      <c r="G471" s="9"/>
    </row>
    <row r="472" spans="2:7" ht="14.25" customHeight="1">
      <c r="B472" s="7"/>
      <c r="E472" s="7"/>
      <c r="G472" s="9"/>
    </row>
    <row r="473" spans="2:7" ht="14.25" customHeight="1">
      <c r="B473" s="7"/>
      <c r="E473" s="7"/>
      <c r="G473" s="9"/>
    </row>
    <row r="474" spans="2:7" ht="14.25" customHeight="1">
      <c r="B474" s="7"/>
      <c r="E474" s="7"/>
      <c r="G474" s="9"/>
    </row>
    <row r="475" spans="2:7" ht="14.25" customHeight="1">
      <c r="B475" s="7"/>
      <c r="E475" s="7"/>
      <c r="G475" s="9"/>
    </row>
    <row r="476" spans="2:7" ht="14.25" customHeight="1">
      <c r="B476" s="7"/>
      <c r="E476" s="7"/>
      <c r="G476" s="9"/>
    </row>
    <row r="477" spans="2:7" ht="14.25" customHeight="1">
      <c r="B477" s="7"/>
      <c r="E477" s="7"/>
      <c r="G477" s="9"/>
    </row>
    <row r="478" spans="2:7" ht="14.25" customHeight="1">
      <c r="B478" s="7"/>
      <c r="E478" s="7"/>
      <c r="G478" s="9"/>
    </row>
    <row r="479" spans="2:7" ht="14.25" customHeight="1">
      <c r="B479" s="7"/>
      <c r="E479" s="7"/>
      <c r="G479" s="9"/>
    </row>
    <row r="480" spans="2:7" ht="14.25" customHeight="1">
      <c r="B480" s="7"/>
      <c r="E480" s="7"/>
      <c r="G480" s="9"/>
    </row>
    <row r="481" spans="2:7" ht="14.25" customHeight="1">
      <c r="B481" s="7"/>
      <c r="E481" s="7"/>
      <c r="G481" s="9"/>
    </row>
    <row r="482" spans="2:7" ht="14.25" customHeight="1">
      <c r="B482" s="7"/>
      <c r="E482" s="7"/>
      <c r="G482" s="9"/>
    </row>
    <row r="483" spans="2:7" ht="14.25" customHeight="1">
      <c r="B483" s="7"/>
      <c r="E483" s="7"/>
      <c r="G483" s="9"/>
    </row>
    <row r="484" spans="2:7" ht="14.25" customHeight="1">
      <c r="B484" s="7"/>
      <c r="E484" s="7"/>
      <c r="G484" s="9"/>
    </row>
    <row r="485" spans="2:7" ht="14.25" customHeight="1">
      <c r="B485" s="7"/>
      <c r="E485" s="7"/>
      <c r="G485" s="9"/>
    </row>
    <row r="486" spans="2:7" ht="14.25" customHeight="1">
      <c r="B486" s="7"/>
      <c r="E486" s="7"/>
      <c r="G486" s="9"/>
    </row>
    <row r="487" spans="2:7" ht="14.25" customHeight="1">
      <c r="B487" s="7"/>
      <c r="E487" s="7"/>
      <c r="G487" s="9"/>
    </row>
    <row r="488" spans="2:7" ht="14.25" customHeight="1">
      <c r="B488" s="7"/>
      <c r="E488" s="7"/>
      <c r="G488" s="9"/>
    </row>
    <row r="489" spans="2:7" ht="14.25" customHeight="1">
      <c r="B489" s="7"/>
      <c r="E489" s="7"/>
      <c r="G489" s="9"/>
    </row>
    <row r="490" spans="2:7" ht="14.25" customHeight="1">
      <c r="B490" s="7"/>
      <c r="E490" s="7"/>
      <c r="G490" s="9"/>
    </row>
    <row r="491" spans="2:7" ht="14.25" customHeight="1">
      <c r="B491" s="7"/>
      <c r="E491" s="7"/>
      <c r="G491" s="9"/>
    </row>
    <row r="492" spans="2:7" ht="14.25" customHeight="1">
      <c r="B492" s="7"/>
      <c r="E492" s="7"/>
      <c r="G492" s="9"/>
    </row>
    <row r="493" spans="2:7" ht="14.25" customHeight="1">
      <c r="B493" s="7"/>
      <c r="E493" s="7"/>
      <c r="G493" s="9"/>
    </row>
    <row r="494" spans="2:7" ht="14.25" customHeight="1">
      <c r="B494" s="7"/>
      <c r="E494" s="7"/>
      <c r="G494" s="9"/>
    </row>
    <row r="495" spans="2:7" ht="14.25" customHeight="1">
      <c r="B495" s="7"/>
      <c r="E495" s="7"/>
      <c r="G495" s="9"/>
    </row>
    <row r="496" spans="2:7" ht="14.25" customHeight="1">
      <c r="B496" s="7"/>
      <c r="E496" s="7"/>
      <c r="G496" s="9"/>
    </row>
    <row r="497" spans="2:7" ht="14.25" customHeight="1">
      <c r="B497" s="7"/>
      <c r="E497" s="7"/>
      <c r="G497" s="9"/>
    </row>
    <row r="498" spans="2:7" ht="14.25" customHeight="1">
      <c r="B498" s="7"/>
      <c r="E498" s="7"/>
      <c r="G498" s="9"/>
    </row>
    <row r="499" spans="2:7" ht="14.25" customHeight="1">
      <c r="B499" s="7"/>
      <c r="E499" s="7"/>
      <c r="G499" s="9"/>
    </row>
    <row r="500" spans="2:7" ht="14.25" customHeight="1">
      <c r="B500" s="7"/>
      <c r="E500" s="7"/>
      <c r="G500" s="9"/>
    </row>
    <row r="501" spans="2:7" ht="14.25" customHeight="1">
      <c r="B501" s="7"/>
      <c r="E501" s="7"/>
      <c r="G501" s="9"/>
    </row>
    <row r="502" spans="2:7" ht="14.25" customHeight="1">
      <c r="B502" s="7"/>
      <c r="E502" s="7"/>
      <c r="G502" s="9"/>
    </row>
    <row r="503" spans="2:7" ht="14.25" customHeight="1">
      <c r="B503" s="7"/>
      <c r="E503" s="7"/>
      <c r="G503" s="9"/>
    </row>
    <row r="504" spans="2:7" ht="14.25" customHeight="1">
      <c r="B504" s="7"/>
      <c r="E504" s="7"/>
      <c r="G504" s="9"/>
    </row>
    <row r="505" spans="2:7" ht="14.25" customHeight="1">
      <c r="B505" s="7"/>
      <c r="E505" s="7"/>
      <c r="G505" s="9"/>
    </row>
    <row r="506" spans="2:7" ht="14.25" customHeight="1">
      <c r="B506" s="7"/>
      <c r="E506" s="7"/>
      <c r="G506" s="9"/>
    </row>
    <row r="507" spans="2:7" ht="14.25" customHeight="1">
      <c r="B507" s="7"/>
      <c r="E507" s="7"/>
      <c r="G507" s="9"/>
    </row>
    <row r="508" spans="2:7" ht="14.25" customHeight="1">
      <c r="B508" s="7"/>
      <c r="E508" s="7"/>
      <c r="G508" s="9"/>
    </row>
    <row r="509" spans="2:7" ht="14.25" customHeight="1">
      <c r="B509" s="7"/>
      <c r="E509" s="7"/>
      <c r="G509" s="9"/>
    </row>
    <row r="510" spans="2:7" ht="14.25" customHeight="1">
      <c r="B510" s="7"/>
      <c r="E510" s="7"/>
      <c r="G510" s="9"/>
    </row>
    <row r="511" spans="2:7" ht="14.25" customHeight="1">
      <c r="B511" s="7"/>
      <c r="E511" s="7"/>
      <c r="G511" s="9"/>
    </row>
    <row r="512" spans="2:7" ht="14.25" customHeight="1">
      <c r="B512" s="7"/>
      <c r="E512" s="7"/>
      <c r="G512" s="9"/>
    </row>
    <row r="513" spans="2:7" ht="14.25" customHeight="1">
      <c r="B513" s="7"/>
      <c r="E513" s="7"/>
      <c r="G513" s="9"/>
    </row>
    <row r="514" spans="2:7" ht="14.25" customHeight="1">
      <c r="B514" s="7"/>
      <c r="E514" s="7"/>
      <c r="G514" s="9"/>
    </row>
    <row r="515" spans="2:7" ht="14.25" customHeight="1">
      <c r="B515" s="7"/>
      <c r="E515" s="7"/>
      <c r="G515" s="9"/>
    </row>
    <row r="516" spans="2:7" ht="14.25" customHeight="1">
      <c r="B516" s="7"/>
      <c r="E516" s="7"/>
      <c r="G516" s="9"/>
    </row>
    <row r="517" spans="2:7" ht="14.25" customHeight="1">
      <c r="B517" s="7"/>
      <c r="E517" s="7"/>
      <c r="G517" s="9"/>
    </row>
    <row r="518" spans="2:7" ht="14.25" customHeight="1">
      <c r="B518" s="7"/>
      <c r="E518" s="7"/>
      <c r="G518" s="9"/>
    </row>
    <row r="519" spans="2:7" ht="14.25" customHeight="1">
      <c r="B519" s="7"/>
      <c r="E519" s="7"/>
      <c r="G519" s="9"/>
    </row>
    <row r="520" spans="2:7" ht="14.25" customHeight="1">
      <c r="B520" s="7"/>
      <c r="E520" s="7"/>
      <c r="G520" s="9"/>
    </row>
    <row r="521" spans="2:7" ht="14.25" customHeight="1">
      <c r="B521" s="7"/>
      <c r="E521" s="7"/>
      <c r="G521" s="9"/>
    </row>
    <row r="522" spans="2:7" ht="14.25" customHeight="1">
      <c r="B522" s="7"/>
      <c r="E522" s="7"/>
      <c r="G522" s="9"/>
    </row>
    <row r="523" spans="2:7" ht="14.25" customHeight="1">
      <c r="B523" s="7"/>
      <c r="E523" s="7"/>
      <c r="G523" s="9"/>
    </row>
    <row r="524" spans="2:7" ht="14.25" customHeight="1">
      <c r="B524" s="7"/>
      <c r="E524" s="7"/>
      <c r="G524" s="9"/>
    </row>
    <row r="525" spans="2:7" ht="14.25" customHeight="1">
      <c r="B525" s="7"/>
      <c r="E525" s="7"/>
      <c r="G525" s="9"/>
    </row>
    <row r="526" spans="2:7" ht="14.25" customHeight="1">
      <c r="B526" s="7"/>
      <c r="E526" s="7"/>
      <c r="G526" s="9"/>
    </row>
    <row r="527" spans="2:7" ht="14.25" customHeight="1">
      <c r="B527" s="7"/>
      <c r="E527" s="7"/>
      <c r="G527" s="9"/>
    </row>
    <row r="528" spans="2:7" ht="14.25" customHeight="1">
      <c r="B528" s="7"/>
      <c r="E528" s="7"/>
      <c r="G528" s="9"/>
    </row>
    <row r="529" spans="2:7" ht="14.25" customHeight="1">
      <c r="B529" s="7"/>
      <c r="E529" s="7"/>
      <c r="G529" s="9"/>
    </row>
    <row r="530" spans="2:7" ht="14.25" customHeight="1">
      <c r="B530" s="7"/>
      <c r="E530" s="7"/>
      <c r="G530" s="9"/>
    </row>
    <row r="531" spans="2:7" ht="14.25" customHeight="1">
      <c r="B531" s="7"/>
      <c r="E531" s="7"/>
      <c r="G531" s="9"/>
    </row>
    <row r="532" spans="2:7" ht="14.25" customHeight="1">
      <c r="B532" s="7"/>
      <c r="E532" s="7"/>
      <c r="G532" s="9"/>
    </row>
    <row r="533" spans="2:7" ht="14.25" customHeight="1">
      <c r="B533" s="7"/>
      <c r="E533" s="7"/>
      <c r="G533" s="9"/>
    </row>
    <row r="534" spans="2:7" ht="14.25" customHeight="1">
      <c r="B534" s="7"/>
      <c r="E534" s="7"/>
      <c r="G534" s="9"/>
    </row>
    <row r="535" spans="2:7" ht="14.25" customHeight="1">
      <c r="B535" s="7"/>
      <c r="E535" s="7"/>
      <c r="G535" s="9"/>
    </row>
    <row r="536" spans="2:7" ht="14.25" customHeight="1">
      <c r="B536" s="7"/>
      <c r="E536" s="7"/>
      <c r="G536" s="9"/>
    </row>
    <row r="537" spans="2:7" ht="14.25" customHeight="1">
      <c r="B537" s="7"/>
      <c r="E537" s="7"/>
      <c r="G537" s="9"/>
    </row>
    <row r="538" spans="2:7" ht="14.25" customHeight="1">
      <c r="B538" s="7"/>
      <c r="E538" s="7"/>
      <c r="G538" s="9"/>
    </row>
    <row r="539" spans="2:7" ht="14.25" customHeight="1">
      <c r="B539" s="7"/>
      <c r="E539" s="7"/>
      <c r="G539" s="9"/>
    </row>
    <row r="540" spans="2:7" ht="14.25" customHeight="1">
      <c r="B540" s="7"/>
      <c r="E540" s="7"/>
      <c r="G540" s="9"/>
    </row>
    <row r="541" spans="2:7" ht="14.25" customHeight="1">
      <c r="B541" s="7"/>
      <c r="E541" s="7"/>
      <c r="G541" s="9"/>
    </row>
    <row r="542" spans="2:7" ht="14.25" customHeight="1">
      <c r="B542" s="7"/>
      <c r="E542" s="7"/>
      <c r="G542" s="9"/>
    </row>
    <row r="543" spans="2:7" ht="14.25" customHeight="1">
      <c r="B543" s="7"/>
      <c r="E543" s="7"/>
      <c r="G543" s="9"/>
    </row>
    <row r="544" spans="2:7" ht="14.25" customHeight="1">
      <c r="B544" s="7"/>
      <c r="E544" s="7"/>
      <c r="G544" s="9"/>
    </row>
    <row r="545" spans="2:7" ht="14.25" customHeight="1">
      <c r="B545" s="7"/>
      <c r="E545" s="7"/>
      <c r="G545" s="9"/>
    </row>
    <row r="546" spans="2:7" ht="14.25" customHeight="1">
      <c r="B546" s="7"/>
      <c r="E546" s="7"/>
      <c r="G546" s="9"/>
    </row>
    <row r="547" spans="2:7" ht="14.25" customHeight="1">
      <c r="B547" s="7"/>
      <c r="E547" s="7"/>
      <c r="G547" s="9"/>
    </row>
    <row r="548" spans="2:7" ht="14.25" customHeight="1">
      <c r="B548" s="7"/>
      <c r="E548" s="7"/>
      <c r="G548" s="9"/>
    </row>
    <row r="549" spans="2:7" ht="14.25" customHeight="1">
      <c r="B549" s="7"/>
      <c r="E549" s="7"/>
      <c r="G549" s="9"/>
    </row>
    <row r="550" spans="2:7" ht="14.25" customHeight="1">
      <c r="B550" s="7"/>
      <c r="E550" s="7"/>
      <c r="G550" s="9"/>
    </row>
    <row r="551" spans="2:7" ht="14.25" customHeight="1">
      <c r="B551" s="7"/>
      <c r="E551" s="7"/>
      <c r="G551" s="9"/>
    </row>
    <row r="552" spans="2:7" ht="14.25" customHeight="1">
      <c r="B552" s="7"/>
      <c r="E552" s="7"/>
      <c r="G552" s="9"/>
    </row>
    <row r="553" spans="2:7" ht="14.25" customHeight="1">
      <c r="B553" s="7"/>
      <c r="E553" s="7"/>
      <c r="G553" s="9"/>
    </row>
    <row r="554" spans="2:7" ht="14.25" customHeight="1">
      <c r="B554" s="7"/>
      <c r="E554" s="7"/>
      <c r="G554" s="9"/>
    </row>
    <row r="555" spans="2:7" ht="14.25" customHeight="1">
      <c r="B555" s="7"/>
      <c r="E555" s="7"/>
      <c r="G555" s="9"/>
    </row>
    <row r="556" spans="2:7" ht="14.25" customHeight="1">
      <c r="B556" s="7"/>
      <c r="E556" s="7"/>
      <c r="G556" s="9"/>
    </row>
    <row r="557" spans="2:7" ht="14.25" customHeight="1">
      <c r="B557" s="7"/>
      <c r="E557" s="7"/>
      <c r="G557" s="9"/>
    </row>
    <row r="558" spans="2:7" ht="14.25" customHeight="1">
      <c r="B558" s="7"/>
      <c r="E558" s="7"/>
      <c r="G558" s="9"/>
    </row>
    <row r="559" spans="2:7" ht="14.25" customHeight="1">
      <c r="B559" s="7"/>
      <c r="E559" s="7"/>
      <c r="G559" s="9"/>
    </row>
    <row r="560" spans="2:7" ht="14.25" customHeight="1">
      <c r="B560" s="7"/>
      <c r="E560" s="7"/>
      <c r="G560" s="9"/>
    </row>
    <row r="561" spans="2:7" ht="14.25" customHeight="1">
      <c r="B561" s="7"/>
      <c r="E561" s="7"/>
      <c r="G561" s="9"/>
    </row>
    <row r="562" spans="2:7" ht="14.25" customHeight="1">
      <c r="B562" s="7"/>
      <c r="E562" s="7"/>
      <c r="G562" s="9"/>
    </row>
    <row r="563" spans="2:7" ht="14.25" customHeight="1">
      <c r="B563" s="7"/>
      <c r="E563" s="7"/>
      <c r="G563" s="9"/>
    </row>
    <row r="564" spans="2:7" ht="14.25" customHeight="1">
      <c r="B564" s="7"/>
      <c r="E564" s="7"/>
      <c r="G564" s="9"/>
    </row>
    <row r="565" spans="2:7" ht="14.25" customHeight="1">
      <c r="B565" s="7"/>
      <c r="E565" s="7"/>
      <c r="G565" s="9"/>
    </row>
    <row r="566" spans="2:7" ht="14.25" customHeight="1">
      <c r="B566" s="7"/>
      <c r="E566" s="7"/>
      <c r="G566" s="9"/>
    </row>
    <row r="567" spans="2:7" ht="14.25" customHeight="1">
      <c r="B567" s="7"/>
      <c r="E567" s="7"/>
      <c r="G567" s="9"/>
    </row>
    <row r="568" spans="2:7" ht="14.25" customHeight="1">
      <c r="B568" s="7"/>
      <c r="E568" s="7"/>
      <c r="G568" s="9"/>
    </row>
    <row r="569" spans="2:7" ht="14.25" customHeight="1">
      <c r="B569" s="7"/>
      <c r="E569" s="7"/>
      <c r="G569" s="9"/>
    </row>
    <row r="570" spans="2:7" ht="14.25" customHeight="1">
      <c r="B570" s="7"/>
      <c r="E570" s="7"/>
      <c r="G570" s="9"/>
    </row>
    <row r="571" spans="2:7" ht="14.25" customHeight="1">
      <c r="B571" s="7"/>
      <c r="E571" s="7"/>
      <c r="G571" s="9"/>
    </row>
    <row r="572" spans="2:7" ht="14.25" customHeight="1">
      <c r="B572" s="7"/>
      <c r="E572" s="7"/>
      <c r="G572" s="9"/>
    </row>
    <row r="573" spans="2:7" ht="14.25" customHeight="1">
      <c r="B573" s="7"/>
      <c r="E573" s="7"/>
      <c r="G573" s="9"/>
    </row>
    <row r="574" spans="2:7" ht="14.25" customHeight="1">
      <c r="B574" s="7"/>
      <c r="E574" s="7"/>
      <c r="G574" s="9"/>
    </row>
    <row r="575" spans="2:7" ht="14.25" customHeight="1">
      <c r="B575" s="7"/>
      <c r="E575" s="7"/>
      <c r="G575" s="9"/>
    </row>
    <row r="576" spans="2:7" ht="14.25" customHeight="1">
      <c r="B576" s="7"/>
      <c r="E576" s="7"/>
      <c r="G576" s="9"/>
    </row>
    <row r="577" spans="2:7" ht="14.25" customHeight="1">
      <c r="B577" s="7"/>
      <c r="E577" s="7"/>
      <c r="G577" s="9"/>
    </row>
    <row r="578" spans="2:7" ht="14.25" customHeight="1">
      <c r="B578" s="7"/>
      <c r="E578" s="7"/>
      <c r="G578" s="9"/>
    </row>
    <row r="579" spans="2:7" ht="14.25" customHeight="1">
      <c r="B579" s="7"/>
      <c r="E579" s="7"/>
      <c r="G579" s="9"/>
    </row>
    <row r="580" spans="2:7" ht="14.25" customHeight="1">
      <c r="B580" s="7"/>
      <c r="E580" s="7"/>
      <c r="G580" s="9"/>
    </row>
    <row r="581" spans="2:7" ht="14.25" customHeight="1">
      <c r="B581" s="7"/>
      <c r="E581" s="7"/>
      <c r="G581" s="9"/>
    </row>
    <row r="582" spans="2:7" ht="14.25" customHeight="1">
      <c r="B582" s="7"/>
      <c r="E582" s="7"/>
      <c r="G582" s="9"/>
    </row>
    <row r="583" spans="2:7" ht="14.25" customHeight="1">
      <c r="B583" s="7"/>
      <c r="E583" s="7"/>
      <c r="G583" s="9"/>
    </row>
    <row r="584" spans="2:7" ht="14.25" customHeight="1">
      <c r="B584" s="7"/>
      <c r="E584" s="7"/>
      <c r="G584" s="9"/>
    </row>
    <row r="585" spans="2:7" ht="14.25" customHeight="1">
      <c r="B585" s="7"/>
      <c r="E585" s="7"/>
      <c r="G585" s="9"/>
    </row>
    <row r="586" spans="2:7" ht="14.25" customHeight="1">
      <c r="B586" s="7"/>
      <c r="E586" s="7"/>
      <c r="G586" s="9"/>
    </row>
    <row r="587" spans="2:7" ht="14.25" customHeight="1">
      <c r="B587" s="7"/>
      <c r="E587" s="7"/>
      <c r="G587" s="9"/>
    </row>
    <row r="588" spans="2:7" ht="14.25" customHeight="1">
      <c r="B588" s="7"/>
      <c r="E588" s="7"/>
      <c r="G588" s="9"/>
    </row>
    <row r="589" spans="2:7" ht="14.25" customHeight="1">
      <c r="B589" s="7"/>
      <c r="E589" s="7"/>
      <c r="G589" s="9"/>
    </row>
    <row r="590" spans="2:7" ht="14.25" customHeight="1">
      <c r="B590" s="7"/>
      <c r="E590" s="7"/>
      <c r="G590" s="9"/>
    </row>
    <row r="591" spans="2:7" ht="14.25" customHeight="1">
      <c r="B591" s="7"/>
      <c r="E591" s="7"/>
      <c r="G591" s="9"/>
    </row>
    <row r="592" spans="2:7" ht="14.25" customHeight="1">
      <c r="B592" s="7"/>
      <c r="E592" s="7"/>
      <c r="G592" s="9"/>
    </row>
    <row r="593" spans="2:7" ht="14.25" customHeight="1">
      <c r="B593" s="7"/>
      <c r="E593" s="7"/>
      <c r="G593" s="9"/>
    </row>
    <row r="594" spans="2:7" ht="14.25" customHeight="1">
      <c r="B594" s="7"/>
      <c r="E594" s="7"/>
      <c r="G594" s="9"/>
    </row>
    <row r="595" spans="2:7" ht="14.25" customHeight="1">
      <c r="B595" s="7"/>
      <c r="E595" s="7"/>
      <c r="G595" s="9"/>
    </row>
    <row r="596" spans="2:7" ht="14.25" customHeight="1">
      <c r="B596" s="7"/>
      <c r="E596" s="7"/>
      <c r="G596" s="9"/>
    </row>
    <row r="597" spans="2:7" ht="14.25" customHeight="1">
      <c r="B597" s="7"/>
      <c r="E597" s="7"/>
      <c r="G597" s="9"/>
    </row>
    <row r="598" spans="2:7" ht="14.25" customHeight="1">
      <c r="B598" s="7"/>
      <c r="E598" s="7"/>
      <c r="G598" s="9"/>
    </row>
    <row r="599" spans="2:7" ht="14.25" customHeight="1">
      <c r="B599" s="7"/>
      <c r="E599" s="7"/>
      <c r="G599" s="9"/>
    </row>
    <row r="600" spans="2:7" ht="14.25" customHeight="1">
      <c r="B600" s="7"/>
      <c r="E600" s="7"/>
      <c r="G600" s="9"/>
    </row>
    <row r="601" spans="2:7" ht="14.25" customHeight="1">
      <c r="B601" s="7"/>
      <c r="E601" s="7"/>
      <c r="G601" s="9"/>
    </row>
    <row r="602" spans="2:7" ht="14.25" customHeight="1">
      <c r="B602" s="7"/>
      <c r="E602" s="7"/>
      <c r="G602" s="9"/>
    </row>
    <row r="603" spans="2:7" ht="14.25" customHeight="1">
      <c r="B603" s="7"/>
      <c r="E603" s="7"/>
      <c r="G603" s="9"/>
    </row>
    <row r="604" spans="2:7" ht="14.25" customHeight="1">
      <c r="B604" s="7"/>
      <c r="E604" s="7"/>
      <c r="G604" s="9"/>
    </row>
    <row r="605" spans="2:7" ht="14.25" customHeight="1">
      <c r="B605" s="7"/>
      <c r="E605" s="7"/>
      <c r="G605" s="9"/>
    </row>
    <row r="606" spans="2:7" ht="14.25" customHeight="1">
      <c r="B606" s="7"/>
      <c r="E606" s="7"/>
      <c r="G606" s="9"/>
    </row>
    <row r="607" spans="2:7" ht="14.25" customHeight="1">
      <c r="B607" s="7"/>
      <c r="E607" s="7"/>
      <c r="G607" s="9"/>
    </row>
    <row r="608" spans="2:7" ht="14.25" customHeight="1">
      <c r="B608" s="7"/>
      <c r="E608" s="7"/>
      <c r="G608" s="9"/>
    </row>
    <row r="609" spans="2:7" ht="14.25" customHeight="1">
      <c r="B609" s="7"/>
      <c r="E609" s="7"/>
      <c r="G609" s="9"/>
    </row>
    <row r="610" spans="2:7" ht="14.25" customHeight="1">
      <c r="B610" s="7"/>
      <c r="E610" s="7"/>
      <c r="G610" s="9"/>
    </row>
    <row r="611" spans="2:7" ht="14.25" customHeight="1">
      <c r="B611" s="7"/>
      <c r="E611" s="7"/>
      <c r="G611" s="9"/>
    </row>
    <row r="612" spans="2:7" ht="14.25" customHeight="1">
      <c r="B612" s="7"/>
      <c r="E612" s="7"/>
      <c r="G612" s="9"/>
    </row>
    <row r="613" spans="2:7" ht="14.25" customHeight="1">
      <c r="B613" s="7"/>
      <c r="E613" s="7"/>
      <c r="G613" s="9"/>
    </row>
    <row r="614" spans="2:7" ht="14.25" customHeight="1">
      <c r="B614" s="7"/>
      <c r="E614" s="7"/>
      <c r="G614" s="9"/>
    </row>
    <row r="615" spans="2:7" ht="14.25" customHeight="1">
      <c r="B615" s="7"/>
      <c r="E615" s="7"/>
      <c r="G615" s="9"/>
    </row>
    <row r="616" spans="2:7" ht="14.25" customHeight="1">
      <c r="B616" s="7"/>
      <c r="E616" s="7"/>
      <c r="G616" s="9"/>
    </row>
    <row r="617" spans="2:7" ht="14.25" customHeight="1">
      <c r="B617" s="7"/>
      <c r="E617" s="7"/>
      <c r="G617" s="9"/>
    </row>
    <row r="618" spans="2:7" ht="14.25" customHeight="1">
      <c r="B618" s="7"/>
      <c r="E618" s="7"/>
      <c r="G618" s="9"/>
    </row>
    <row r="619" spans="2:7" ht="14.25" customHeight="1">
      <c r="B619" s="7"/>
      <c r="E619" s="7"/>
      <c r="G619" s="9"/>
    </row>
    <row r="620" spans="2:7" ht="14.25" customHeight="1">
      <c r="B620" s="7"/>
      <c r="E620" s="7"/>
      <c r="G620" s="9"/>
    </row>
    <row r="621" spans="2:7" ht="14.25" customHeight="1">
      <c r="B621" s="7"/>
      <c r="E621" s="7"/>
      <c r="G621" s="9"/>
    </row>
    <row r="622" spans="2:7" ht="14.25" customHeight="1">
      <c r="B622" s="7"/>
      <c r="E622" s="7"/>
      <c r="G622" s="9"/>
    </row>
    <row r="623" spans="2:7" ht="14.25" customHeight="1">
      <c r="B623" s="7"/>
      <c r="E623" s="7"/>
      <c r="G623" s="9"/>
    </row>
    <row r="624" spans="2:7" ht="14.25" customHeight="1">
      <c r="B624" s="7"/>
      <c r="E624" s="7"/>
      <c r="G624" s="9"/>
    </row>
    <row r="625" spans="2:7" ht="14.25" customHeight="1">
      <c r="B625" s="7"/>
      <c r="E625" s="7"/>
      <c r="G625" s="9"/>
    </row>
    <row r="626" spans="2:7" ht="14.25" customHeight="1">
      <c r="B626" s="7"/>
      <c r="E626" s="7"/>
      <c r="G626" s="9"/>
    </row>
    <row r="627" spans="2:7" ht="14.25" customHeight="1">
      <c r="B627" s="7"/>
      <c r="E627" s="7"/>
      <c r="G627" s="9"/>
    </row>
    <row r="628" spans="2:7" ht="14.25" customHeight="1">
      <c r="B628" s="7"/>
      <c r="E628" s="7"/>
      <c r="G628" s="9"/>
    </row>
    <row r="629" spans="2:7" ht="14.25" customHeight="1">
      <c r="B629" s="7"/>
      <c r="E629" s="7"/>
      <c r="G629" s="9"/>
    </row>
    <row r="630" spans="2:7" ht="14.25" customHeight="1">
      <c r="B630" s="7"/>
      <c r="E630" s="7"/>
      <c r="G630" s="9"/>
    </row>
    <row r="631" spans="2:7" ht="14.25" customHeight="1">
      <c r="B631" s="7"/>
      <c r="E631" s="7"/>
      <c r="G631" s="9"/>
    </row>
    <row r="632" spans="2:7" ht="14.25" customHeight="1">
      <c r="B632" s="7"/>
      <c r="E632" s="7"/>
      <c r="G632" s="9"/>
    </row>
    <row r="633" spans="2:7" ht="14.25" customHeight="1">
      <c r="B633" s="7"/>
      <c r="E633" s="7"/>
      <c r="G633" s="9"/>
    </row>
    <row r="634" spans="2:7" ht="14.25" customHeight="1">
      <c r="B634" s="7"/>
      <c r="E634" s="7"/>
      <c r="G634" s="9"/>
    </row>
    <row r="635" spans="2:7" ht="14.25" customHeight="1">
      <c r="B635" s="7"/>
      <c r="E635" s="7"/>
      <c r="G635" s="9"/>
    </row>
    <row r="636" spans="2:7" ht="14.25" customHeight="1">
      <c r="B636" s="7"/>
      <c r="E636" s="7"/>
      <c r="G636" s="9"/>
    </row>
    <row r="637" spans="2:7" ht="14.25" customHeight="1">
      <c r="B637" s="7"/>
      <c r="E637" s="7"/>
      <c r="G637" s="9"/>
    </row>
    <row r="638" spans="2:7" ht="14.25" customHeight="1">
      <c r="B638" s="7"/>
      <c r="E638" s="7"/>
      <c r="G638" s="9"/>
    </row>
    <row r="639" spans="2:7" ht="14.25" customHeight="1">
      <c r="B639" s="7"/>
      <c r="E639" s="7"/>
      <c r="G639" s="9"/>
    </row>
    <row r="640" spans="2:7" ht="14.25" customHeight="1">
      <c r="B640" s="7"/>
      <c r="E640" s="7"/>
      <c r="G640" s="9"/>
    </row>
    <row r="641" spans="2:7" ht="14.25" customHeight="1">
      <c r="B641" s="7"/>
      <c r="E641" s="7"/>
      <c r="G641" s="9"/>
    </row>
    <row r="642" spans="2:7" ht="14.25" customHeight="1">
      <c r="B642" s="7"/>
      <c r="E642" s="7"/>
      <c r="G642" s="9"/>
    </row>
    <row r="643" spans="2:7" ht="14.25" customHeight="1">
      <c r="B643" s="7"/>
      <c r="E643" s="7"/>
      <c r="G643" s="9"/>
    </row>
    <row r="644" spans="2:7" ht="14.25" customHeight="1">
      <c r="B644" s="7"/>
      <c r="E644" s="7"/>
      <c r="G644" s="9"/>
    </row>
    <row r="645" spans="2:7" ht="14.25" customHeight="1">
      <c r="B645" s="7"/>
      <c r="E645" s="7"/>
      <c r="G645" s="9"/>
    </row>
    <row r="646" spans="2:7" ht="14.25" customHeight="1">
      <c r="B646" s="7"/>
      <c r="E646" s="7"/>
      <c r="G646" s="9"/>
    </row>
    <row r="647" spans="2:7" ht="14.25" customHeight="1">
      <c r="B647" s="7"/>
      <c r="E647" s="7"/>
      <c r="G647" s="9"/>
    </row>
    <row r="648" spans="2:7" ht="14.25" customHeight="1">
      <c r="B648" s="7"/>
      <c r="E648" s="7"/>
      <c r="G648" s="9"/>
    </row>
    <row r="649" spans="2:7" ht="14.25" customHeight="1">
      <c r="B649" s="7"/>
      <c r="E649" s="7"/>
      <c r="G649" s="9"/>
    </row>
    <row r="650" spans="2:7" ht="14.25" customHeight="1">
      <c r="B650" s="7"/>
      <c r="E650" s="7"/>
      <c r="G650" s="9"/>
    </row>
    <row r="651" spans="2:7" ht="14.25" customHeight="1">
      <c r="B651" s="7"/>
      <c r="E651" s="7"/>
      <c r="G651" s="9"/>
    </row>
    <row r="652" spans="2:7" ht="14.25" customHeight="1">
      <c r="B652" s="7"/>
      <c r="E652" s="7"/>
      <c r="G652" s="9"/>
    </row>
    <row r="653" spans="2:7" ht="14.25" customHeight="1">
      <c r="B653" s="7"/>
      <c r="E653" s="7"/>
      <c r="G653" s="9"/>
    </row>
    <row r="654" spans="2:7" ht="14.25" customHeight="1">
      <c r="B654" s="7"/>
      <c r="E654" s="7"/>
      <c r="G654" s="9"/>
    </row>
    <row r="655" spans="2:7" ht="14.25" customHeight="1">
      <c r="B655" s="7"/>
      <c r="E655" s="7"/>
      <c r="G655" s="9"/>
    </row>
    <row r="656" spans="2:7" ht="14.25" customHeight="1">
      <c r="B656" s="7"/>
      <c r="E656" s="7"/>
      <c r="G656" s="9"/>
    </row>
    <row r="657" spans="2:7" ht="14.25" customHeight="1">
      <c r="B657" s="7"/>
      <c r="E657" s="7"/>
      <c r="G657" s="9"/>
    </row>
    <row r="658" spans="2:7" ht="14.25" customHeight="1">
      <c r="B658" s="7"/>
      <c r="E658" s="7"/>
      <c r="G658" s="9"/>
    </row>
    <row r="659" spans="2:7" ht="14.25" customHeight="1">
      <c r="B659" s="7"/>
      <c r="E659" s="7"/>
      <c r="G659" s="9"/>
    </row>
    <row r="660" spans="2:7" ht="14.25" customHeight="1">
      <c r="B660" s="7"/>
      <c r="E660" s="7"/>
      <c r="G660" s="9"/>
    </row>
    <row r="661" spans="2:7" ht="14.25" customHeight="1">
      <c r="B661" s="7"/>
      <c r="E661" s="7"/>
      <c r="G661" s="9"/>
    </row>
    <row r="662" spans="2:7" ht="14.25" customHeight="1">
      <c r="B662" s="7"/>
      <c r="E662" s="7"/>
      <c r="G662" s="9"/>
    </row>
    <row r="663" spans="2:7" ht="14.25" customHeight="1">
      <c r="B663" s="7"/>
      <c r="E663" s="7"/>
      <c r="G663" s="9"/>
    </row>
    <row r="664" spans="2:7" ht="14.25" customHeight="1">
      <c r="B664" s="7"/>
      <c r="E664" s="7"/>
      <c r="G664" s="9"/>
    </row>
    <row r="665" spans="2:7" ht="14.25" customHeight="1">
      <c r="B665" s="7"/>
      <c r="E665" s="7"/>
      <c r="G665" s="9"/>
    </row>
    <row r="666" spans="2:7" ht="14.25" customHeight="1">
      <c r="B666" s="7"/>
      <c r="E666" s="7"/>
      <c r="G666" s="9"/>
    </row>
    <row r="667" spans="2:7" ht="14.25" customHeight="1">
      <c r="B667" s="7"/>
      <c r="E667" s="7"/>
      <c r="G667" s="9"/>
    </row>
    <row r="668" spans="2:7" ht="14.25" customHeight="1">
      <c r="B668" s="7"/>
      <c r="E668" s="7"/>
      <c r="G668" s="9"/>
    </row>
    <row r="669" spans="2:7" ht="14.25" customHeight="1">
      <c r="B669" s="7"/>
      <c r="E669" s="7"/>
      <c r="G669" s="9"/>
    </row>
    <row r="670" spans="2:7" ht="14.25" customHeight="1">
      <c r="B670" s="7"/>
      <c r="E670" s="7"/>
      <c r="G670" s="9"/>
    </row>
    <row r="671" spans="2:7" ht="14.25" customHeight="1">
      <c r="B671" s="7"/>
      <c r="E671" s="7"/>
      <c r="G671" s="9"/>
    </row>
    <row r="672" spans="2:7" ht="14.25" customHeight="1">
      <c r="B672" s="7"/>
      <c r="E672" s="7"/>
      <c r="G672" s="9"/>
    </row>
    <row r="673" spans="2:7" ht="14.25" customHeight="1">
      <c r="B673" s="7"/>
      <c r="E673" s="7"/>
      <c r="G673" s="9"/>
    </row>
    <row r="674" spans="2:7" ht="14.25" customHeight="1">
      <c r="B674" s="7"/>
      <c r="E674" s="7"/>
      <c r="G674" s="9"/>
    </row>
    <row r="675" spans="2:7" ht="14.25" customHeight="1">
      <c r="B675" s="7"/>
      <c r="E675" s="7"/>
      <c r="G675" s="9"/>
    </row>
    <row r="676" spans="2:7" ht="14.25" customHeight="1">
      <c r="B676" s="7"/>
      <c r="E676" s="7"/>
      <c r="G676" s="9"/>
    </row>
    <row r="677" spans="2:7" ht="14.25" customHeight="1">
      <c r="B677" s="7"/>
      <c r="E677" s="7"/>
      <c r="G677" s="9"/>
    </row>
    <row r="678" spans="2:7" ht="14.25" customHeight="1">
      <c r="B678" s="7"/>
      <c r="E678" s="7"/>
      <c r="G678" s="9"/>
    </row>
    <row r="679" spans="2:7" ht="14.25" customHeight="1">
      <c r="B679" s="7"/>
      <c r="E679" s="7"/>
      <c r="G679" s="9"/>
    </row>
    <row r="680" spans="2:7" ht="14.25" customHeight="1">
      <c r="B680" s="7"/>
      <c r="E680" s="7"/>
      <c r="G680" s="9"/>
    </row>
    <row r="681" spans="2:7" ht="14.25" customHeight="1">
      <c r="B681" s="7"/>
      <c r="E681" s="7"/>
      <c r="G681" s="9"/>
    </row>
    <row r="682" spans="2:7" ht="14.25" customHeight="1">
      <c r="B682" s="7"/>
      <c r="E682" s="7"/>
      <c r="G682" s="9"/>
    </row>
    <row r="683" spans="2:7" ht="14.25" customHeight="1">
      <c r="B683" s="7"/>
      <c r="E683" s="7"/>
      <c r="G683" s="9"/>
    </row>
    <row r="684" spans="2:7" ht="14.25" customHeight="1">
      <c r="B684" s="7"/>
      <c r="E684" s="7"/>
      <c r="G684" s="9"/>
    </row>
    <row r="685" spans="2:7" ht="14.25" customHeight="1">
      <c r="B685" s="7"/>
      <c r="E685" s="7"/>
      <c r="G685" s="9"/>
    </row>
    <row r="686" spans="2:7" ht="14.25" customHeight="1">
      <c r="B686" s="7"/>
      <c r="E686" s="7"/>
      <c r="G686" s="9"/>
    </row>
    <row r="687" spans="2:7" ht="14.25" customHeight="1">
      <c r="B687" s="7"/>
      <c r="E687" s="7"/>
      <c r="G687" s="9"/>
    </row>
    <row r="688" spans="2:7" ht="14.25" customHeight="1">
      <c r="B688" s="7"/>
      <c r="E688" s="7"/>
      <c r="G688" s="9"/>
    </row>
    <row r="689" spans="2:7" ht="14.25" customHeight="1">
      <c r="B689" s="7"/>
      <c r="E689" s="7"/>
      <c r="G689" s="9"/>
    </row>
    <row r="690" spans="2:7" ht="14.25" customHeight="1">
      <c r="B690" s="7"/>
      <c r="E690" s="7"/>
      <c r="G690" s="9"/>
    </row>
    <row r="691" spans="2:7" ht="14.25" customHeight="1">
      <c r="B691" s="7"/>
      <c r="E691" s="7"/>
      <c r="G691" s="9"/>
    </row>
    <row r="692" spans="2:7" ht="14.25" customHeight="1">
      <c r="B692" s="7"/>
      <c r="E692" s="7"/>
      <c r="G692" s="9"/>
    </row>
    <row r="693" spans="2:7" ht="14.25" customHeight="1">
      <c r="B693" s="7"/>
      <c r="E693" s="7"/>
      <c r="G693" s="9"/>
    </row>
    <row r="694" spans="2:7" ht="14.25" customHeight="1">
      <c r="B694" s="7"/>
      <c r="E694" s="7"/>
      <c r="G694" s="9"/>
    </row>
    <row r="695" spans="2:7" ht="14.25" customHeight="1">
      <c r="B695" s="7"/>
      <c r="E695" s="7"/>
      <c r="G695" s="9"/>
    </row>
    <row r="696" spans="2:7" ht="14.25" customHeight="1">
      <c r="B696" s="7"/>
      <c r="E696" s="7"/>
      <c r="G696" s="9"/>
    </row>
    <row r="697" spans="2:7" ht="14.25" customHeight="1">
      <c r="B697" s="7"/>
      <c r="E697" s="7"/>
      <c r="G697" s="9"/>
    </row>
    <row r="698" spans="2:7" ht="14.25" customHeight="1">
      <c r="B698" s="7"/>
      <c r="E698" s="7"/>
      <c r="G698" s="9"/>
    </row>
    <row r="699" spans="2:7" ht="14.25" customHeight="1">
      <c r="B699" s="7"/>
      <c r="E699" s="7"/>
      <c r="G699" s="9"/>
    </row>
    <row r="700" spans="2:7" ht="14.25" customHeight="1">
      <c r="B700" s="7"/>
      <c r="E700" s="7"/>
      <c r="G700" s="9"/>
    </row>
    <row r="701" spans="2:7" ht="14.25" customHeight="1">
      <c r="B701" s="7"/>
      <c r="E701" s="7"/>
      <c r="G701" s="9"/>
    </row>
    <row r="702" spans="2:7" ht="14.25" customHeight="1">
      <c r="B702" s="7"/>
      <c r="E702" s="7"/>
      <c r="G702" s="9"/>
    </row>
    <row r="703" spans="2:7" ht="14.25" customHeight="1">
      <c r="B703" s="7"/>
      <c r="E703" s="7"/>
      <c r="G703" s="9"/>
    </row>
    <row r="704" spans="2:7" ht="14.25" customHeight="1">
      <c r="B704" s="7"/>
      <c r="E704" s="7"/>
      <c r="G704" s="9"/>
    </row>
    <row r="705" spans="2:7" ht="14.25" customHeight="1">
      <c r="B705" s="7"/>
      <c r="E705" s="7"/>
      <c r="G705" s="9"/>
    </row>
    <row r="706" spans="2:7" ht="14.25" customHeight="1">
      <c r="B706" s="7"/>
      <c r="E706" s="7"/>
      <c r="G706" s="9"/>
    </row>
    <row r="707" spans="2:7" ht="14.25" customHeight="1">
      <c r="B707" s="7"/>
      <c r="E707" s="7"/>
      <c r="G707" s="9"/>
    </row>
    <row r="708" spans="2:7" ht="14.25" customHeight="1">
      <c r="B708" s="7"/>
      <c r="E708" s="7"/>
      <c r="G708" s="9"/>
    </row>
    <row r="709" spans="2:7" ht="14.25" customHeight="1">
      <c r="B709" s="7"/>
      <c r="E709" s="7"/>
      <c r="G709" s="9"/>
    </row>
    <row r="710" spans="2:7" ht="14.25" customHeight="1">
      <c r="B710" s="7"/>
      <c r="E710" s="7"/>
      <c r="G710" s="9"/>
    </row>
    <row r="711" spans="2:7" ht="14.25" customHeight="1">
      <c r="B711" s="7"/>
      <c r="E711" s="7"/>
      <c r="G711" s="9"/>
    </row>
    <row r="712" spans="2:7" ht="14.25" customHeight="1">
      <c r="B712" s="7"/>
      <c r="E712" s="7"/>
      <c r="G712" s="9"/>
    </row>
    <row r="713" spans="2:7" ht="14.25" customHeight="1">
      <c r="B713" s="7"/>
      <c r="E713" s="7"/>
      <c r="G713" s="9"/>
    </row>
    <row r="714" spans="2:7" ht="14.25" customHeight="1">
      <c r="B714" s="7"/>
      <c r="E714" s="7"/>
      <c r="G714" s="9"/>
    </row>
    <row r="715" spans="2:7" ht="14.25" customHeight="1">
      <c r="B715" s="7"/>
      <c r="E715" s="7"/>
      <c r="G715" s="9"/>
    </row>
    <row r="716" spans="2:7" ht="14.25" customHeight="1">
      <c r="B716" s="7"/>
      <c r="E716" s="7"/>
      <c r="G716" s="9"/>
    </row>
    <row r="717" spans="2:7" ht="14.25" customHeight="1">
      <c r="B717" s="7"/>
      <c r="E717" s="7"/>
      <c r="G717" s="9"/>
    </row>
    <row r="718" spans="2:7" ht="14.25" customHeight="1">
      <c r="B718" s="7"/>
      <c r="E718" s="7"/>
      <c r="G718" s="9"/>
    </row>
    <row r="719" spans="2:7" ht="14.25" customHeight="1">
      <c r="B719" s="7"/>
      <c r="E719" s="7"/>
      <c r="G719" s="9"/>
    </row>
    <row r="720" spans="2:7" ht="14.25" customHeight="1">
      <c r="B720" s="7"/>
      <c r="E720" s="7"/>
      <c r="G720" s="9"/>
    </row>
    <row r="721" spans="2:7" ht="14.25" customHeight="1">
      <c r="B721" s="7"/>
      <c r="E721" s="7"/>
      <c r="G721" s="9"/>
    </row>
    <row r="722" spans="2:7" ht="14.25" customHeight="1">
      <c r="B722" s="7"/>
      <c r="E722" s="7"/>
      <c r="G722" s="9"/>
    </row>
    <row r="723" spans="2:7" ht="14.25" customHeight="1">
      <c r="B723" s="7"/>
      <c r="E723" s="7"/>
      <c r="G723" s="9"/>
    </row>
    <row r="724" spans="2:7" ht="14.25" customHeight="1">
      <c r="B724" s="7"/>
      <c r="E724" s="7"/>
      <c r="G724" s="9"/>
    </row>
    <row r="725" spans="2:7" ht="14.25" customHeight="1">
      <c r="B725" s="7"/>
      <c r="E725" s="7"/>
      <c r="G725" s="9"/>
    </row>
    <row r="726" spans="2:7" ht="14.25" customHeight="1">
      <c r="B726" s="7"/>
      <c r="E726" s="7"/>
      <c r="G726" s="9"/>
    </row>
    <row r="727" spans="2:7" ht="14.25" customHeight="1">
      <c r="B727" s="7"/>
      <c r="E727" s="7"/>
      <c r="G727" s="9"/>
    </row>
    <row r="728" spans="2:7" ht="14.25" customHeight="1">
      <c r="B728" s="7"/>
      <c r="E728" s="7"/>
      <c r="G728" s="9"/>
    </row>
    <row r="729" spans="2:7" ht="14.25" customHeight="1">
      <c r="B729" s="7"/>
      <c r="E729" s="7"/>
      <c r="G729" s="9"/>
    </row>
    <row r="730" spans="2:7" ht="14.25" customHeight="1">
      <c r="B730" s="7"/>
      <c r="E730" s="7"/>
      <c r="G730" s="9"/>
    </row>
    <row r="731" spans="2:7" ht="14.25" customHeight="1">
      <c r="B731" s="7"/>
      <c r="E731" s="7"/>
      <c r="G731" s="9"/>
    </row>
    <row r="732" spans="2:7" ht="14.25" customHeight="1">
      <c r="B732" s="7"/>
      <c r="E732" s="7"/>
      <c r="G732" s="9"/>
    </row>
    <row r="733" spans="2:7" ht="14.25" customHeight="1">
      <c r="B733" s="7"/>
      <c r="E733" s="7"/>
      <c r="G733" s="9"/>
    </row>
    <row r="734" spans="2:7" ht="14.25" customHeight="1">
      <c r="B734" s="7"/>
      <c r="E734" s="7"/>
      <c r="G734" s="9"/>
    </row>
    <row r="735" spans="2:7" ht="14.25" customHeight="1">
      <c r="B735" s="7"/>
      <c r="E735" s="7"/>
      <c r="G735" s="9"/>
    </row>
    <row r="736" spans="2:7" ht="14.25" customHeight="1">
      <c r="B736" s="7"/>
      <c r="E736" s="7"/>
      <c r="G736" s="9"/>
    </row>
    <row r="737" spans="2:7" ht="14.25" customHeight="1">
      <c r="B737" s="7"/>
      <c r="E737" s="7"/>
      <c r="G737" s="9"/>
    </row>
    <row r="738" spans="2:7" ht="14.25" customHeight="1">
      <c r="B738" s="7"/>
      <c r="E738" s="7"/>
      <c r="G738" s="9"/>
    </row>
    <row r="739" spans="2:7" ht="14.25" customHeight="1">
      <c r="B739" s="7"/>
      <c r="E739" s="7"/>
      <c r="G739" s="9"/>
    </row>
    <row r="740" spans="2:7" ht="14.25" customHeight="1">
      <c r="B740" s="7"/>
      <c r="E740" s="7"/>
      <c r="G740" s="9"/>
    </row>
    <row r="741" spans="2:7" ht="14.25" customHeight="1">
      <c r="B741" s="7"/>
      <c r="E741" s="7"/>
      <c r="G741" s="9"/>
    </row>
    <row r="742" spans="2:7" ht="14.25" customHeight="1">
      <c r="B742" s="7"/>
      <c r="E742" s="7"/>
      <c r="G742" s="9"/>
    </row>
    <row r="743" spans="2:7" ht="14.25" customHeight="1">
      <c r="B743" s="7"/>
      <c r="E743" s="7"/>
      <c r="G743" s="9"/>
    </row>
    <row r="744" spans="2:7" ht="14.25" customHeight="1">
      <c r="B744" s="7"/>
      <c r="E744" s="7"/>
      <c r="G744" s="9"/>
    </row>
    <row r="745" spans="2:7" ht="14.25" customHeight="1">
      <c r="B745" s="7"/>
      <c r="E745" s="7"/>
      <c r="G745" s="9"/>
    </row>
    <row r="746" spans="2:7" ht="14.25" customHeight="1">
      <c r="B746" s="7"/>
      <c r="E746" s="7"/>
      <c r="G746" s="9"/>
    </row>
    <row r="747" spans="2:7" ht="14.25" customHeight="1">
      <c r="B747" s="7"/>
      <c r="E747" s="7"/>
      <c r="G747" s="9"/>
    </row>
    <row r="748" spans="2:7" ht="14.25" customHeight="1">
      <c r="B748" s="7"/>
      <c r="E748" s="7"/>
      <c r="G748" s="9"/>
    </row>
    <row r="749" spans="2:7" ht="14.25" customHeight="1">
      <c r="B749" s="7"/>
      <c r="E749" s="7"/>
      <c r="G749" s="9"/>
    </row>
    <row r="750" spans="2:7" ht="14.25" customHeight="1">
      <c r="B750" s="7"/>
      <c r="E750" s="7"/>
      <c r="G750" s="9"/>
    </row>
    <row r="751" spans="2:7" ht="14.25" customHeight="1">
      <c r="B751" s="7"/>
      <c r="E751" s="7"/>
      <c r="G751" s="9"/>
    </row>
    <row r="752" spans="2:7" ht="14.25" customHeight="1">
      <c r="B752" s="7"/>
      <c r="E752" s="7"/>
      <c r="G752" s="9"/>
    </row>
    <row r="753" spans="2:7" ht="14.25" customHeight="1">
      <c r="B753" s="7"/>
      <c r="E753" s="7"/>
      <c r="G753" s="9"/>
    </row>
    <row r="754" spans="2:7" ht="14.25" customHeight="1">
      <c r="B754" s="7"/>
      <c r="E754" s="7"/>
      <c r="G754" s="9"/>
    </row>
    <row r="755" spans="2:7" ht="14.25" customHeight="1">
      <c r="B755" s="7"/>
      <c r="E755" s="7"/>
      <c r="G755" s="9"/>
    </row>
    <row r="756" spans="2:7" ht="14.25" customHeight="1">
      <c r="B756" s="7"/>
      <c r="E756" s="7"/>
      <c r="G756" s="9"/>
    </row>
    <row r="757" spans="2:7" ht="14.25" customHeight="1">
      <c r="B757" s="7"/>
      <c r="E757" s="7"/>
      <c r="G757" s="9"/>
    </row>
    <row r="758" spans="2:7" ht="14.25" customHeight="1">
      <c r="B758" s="7"/>
      <c r="E758" s="7"/>
      <c r="G758" s="9"/>
    </row>
    <row r="759" spans="2:7" ht="14.25" customHeight="1">
      <c r="B759" s="7"/>
      <c r="E759" s="7"/>
      <c r="G759" s="9"/>
    </row>
    <row r="760" spans="2:7" ht="14.25" customHeight="1">
      <c r="B760" s="7"/>
      <c r="E760" s="7"/>
      <c r="G760" s="9"/>
    </row>
    <row r="761" spans="2:7" ht="14.25" customHeight="1">
      <c r="B761" s="7"/>
      <c r="E761" s="7"/>
      <c r="G761" s="9"/>
    </row>
    <row r="762" spans="2:7" ht="14.25" customHeight="1">
      <c r="B762" s="7"/>
      <c r="E762" s="7"/>
      <c r="G762" s="9"/>
    </row>
    <row r="763" spans="2:7" ht="14.25" customHeight="1">
      <c r="B763" s="7"/>
      <c r="E763" s="7"/>
      <c r="G763" s="9"/>
    </row>
    <row r="764" spans="2:7" ht="14.25" customHeight="1">
      <c r="B764" s="7"/>
      <c r="E764" s="7"/>
      <c r="G764" s="9"/>
    </row>
    <row r="765" spans="2:7" ht="14.25" customHeight="1">
      <c r="B765" s="7"/>
      <c r="E765" s="7"/>
      <c r="G765" s="9"/>
    </row>
    <row r="766" spans="2:7" ht="14.25" customHeight="1">
      <c r="B766" s="7"/>
      <c r="E766" s="7"/>
      <c r="G766" s="9"/>
    </row>
    <row r="767" spans="2:7" ht="14.25" customHeight="1">
      <c r="B767" s="7"/>
      <c r="E767" s="7"/>
      <c r="G767" s="9"/>
    </row>
    <row r="768" spans="2:7" ht="14.25" customHeight="1">
      <c r="B768" s="7"/>
      <c r="E768" s="7"/>
      <c r="G768" s="9"/>
    </row>
    <row r="769" spans="2:7" ht="14.25" customHeight="1">
      <c r="B769" s="7"/>
      <c r="E769" s="7"/>
      <c r="G769" s="9"/>
    </row>
    <row r="770" spans="2:7" ht="14.25" customHeight="1">
      <c r="B770" s="7"/>
      <c r="E770" s="7"/>
      <c r="G770" s="9"/>
    </row>
    <row r="771" spans="2:7" ht="14.25" customHeight="1">
      <c r="B771" s="7"/>
      <c r="E771" s="7"/>
      <c r="G771" s="9"/>
    </row>
    <row r="772" spans="2:7" ht="14.25" customHeight="1">
      <c r="B772" s="7"/>
      <c r="E772" s="7"/>
      <c r="G772" s="9"/>
    </row>
    <row r="773" spans="2:7" ht="14.25" customHeight="1">
      <c r="B773" s="7"/>
      <c r="E773" s="7"/>
      <c r="G773" s="9"/>
    </row>
    <row r="774" spans="2:7" ht="14.25" customHeight="1">
      <c r="B774" s="7"/>
      <c r="E774" s="7"/>
      <c r="G774" s="9"/>
    </row>
    <row r="775" spans="2:7" ht="14.25" customHeight="1">
      <c r="B775" s="7"/>
      <c r="E775" s="7"/>
      <c r="G775" s="9"/>
    </row>
    <row r="776" spans="2:7" ht="14.25" customHeight="1">
      <c r="B776" s="7"/>
      <c r="E776" s="7"/>
      <c r="G776" s="9"/>
    </row>
    <row r="777" spans="2:7" ht="14.25" customHeight="1">
      <c r="B777" s="7"/>
      <c r="E777" s="7"/>
      <c r="G777" s="9"/>
    </row>
    <row r="778" spans="2:7" ht="14.25" customHeight="1">
      <c r="B778" s="7"/>
      <c r="E778" s="7"/>
      <c r="G778" s="9"/>
    </row>
    <row r="779" spans="2:7" ht="14.25" customHeight="1">
      <c r="B779" s="7"/>
      <c r="E779" s="7"/>
      <c r="G779" s="9"/>
    </row>
    <row r="780" spans="2:7" ht="14.25" customHeight="1">
      <c r="B780" s="7"/>
      <c r="E780" s="7"/>
      <c r="G780" s="9"/>
    </row>
    <row r="781" spans="2:7" ht="14.25" customHeight="1">
      <c r="B781" s="7"/>
      <c r="E781" s="7"/>
      <c r="G781" s="9"/>
    </row>
    <row r="782" spans="2:7" ht="14.25" customHeight="1">
      <c r="B782" s="7"/>
      <c r="E782" s="7"/>
      <c r="G782" s="9"/>
    </row>
    <row r="783" spans="2:7" ht="14.25" customHeight="1">
      <c r="B783" s="7"/>
      <c r="E783" s="7"/>
      <c r="G783" s="9"/>
    </row>
    <row r="784" spans="2:7" ht="14.25" customHeight="1">
      <c r="B784" s="7"/>
      <c r="E784" s="7"/>
      <c r="G784" s="9"/>
    </row>
    <row r="785" spans="2:7" ht="14.25" customHeight="1">
      <c r="B785" s="7"/>
      <c r="E785" s="7"/>
      <c r="G785" s="9"/>
    </row>
    <row r="786" spans="2:7" ht="14.25" customHeight="1">
      <c r="B786" s="7"/>
      <c r="E786" s="7"/>
      <c r="G786" s="9"/>
    </row>
    <row r="787" spans="2:7" ht="14.25" customHeight="1">
      <c r="B787" s="7"/>
      <c r="E787" s="7"/>
      <c r="G787" s="9"/>
    </row>
    <row r="788" spans="2:7" ht="14.25" customHeight="1">
      <c r="B788" s="7"/>
      <c r="E788" s="7"/>
      <c r="G788" s="9"/>
    </row>
    <row r="789" spans="2:7" ht="14.25" customHeight="1">
      <c r="B789" s="7"/>
      <c r="E789" s="7"/>
      <c r="G789" s="9"/>
    </row>
    <row r="790" spans="2:7" ht="14.25" customHeight="1">
      <c r="B790" s="7"/>
      <c r="E790" s="7"/>
      <c r="G790" s="9"/>
    </row>
    <row r="791" spans="2:7" ht="14.25" customHeight="1">
      <c r="B791" s="7"/>
      <c r="E791" s="7"/>
      <c r="G791" s="9"/>
    </row>
    <row r="792" spans="2:7" ht="14.25" customHeight="1">
      <c r="B792" s="7"/>
      <c r="E792" s="7"/>
      <c r="G792" s="9"/>
    </row>
    <row r="793" spans="2:7" ht="14.25" customHeight="1">
      <c r="B793" s="7"/>
      <c r="E793" s="7"/>
      <c r="G793" s="9"/>
    </row>
    <row r="794" spans="2:7" ht="14.25" customHeight="1">
      <c r="B794" s="7"/>
      <c r="E794" s="7"/>
      <c r="G794" s="9"/>
    </row>
    <row r="795" spans="2:7" ht="14.25" customHeight="1">
      <c r="B795" s="7"/>
      <c r="E795" s="7"/>
      <c r="G795" s="9"/>
    </row>
    <row r="796" spans="2:7" ht="14.25" customHeight="1">
      <c r="B796" s="7"/>
      <c r="E796" s="7"/>
      <c r="G796" s="9"/>
    </row>
    <row r="797" spans="2:7" ht="14.25" customHeight="1">
      <c r="B797" s="7"/>
      <c r="E797" s="7"/>
      <c r="G797" s="9"/>
    </row>
    <row r="798" spans="2:7" ht="14.25" customHeight="1">
      <c r="B798" s="7"/>
      <c r="E798" s="7"/>
      <c r="G798" s="9"/>
    </row>
    <row r="799" spans="2:7" ht="14.25" customHeight="1">
      <c r="B799" s="7"/>
      <c r="E799" s="7"/>
      <c r="G799" s="9"/>
    </row>
    <row r="800" spans="2:7" ht="14.25" customHeight="1">
      <c r="B800" s="7"/>
      <c r="E800" s="7"/>
      <c r="G800" s="9"/>
    </row>
    <row r="801" spans="2:7" ht="14.25" customHeight="1">
      <c r="B801" s="7"/>
      <c r="E801" s="7"/>
      <c r="G801" s="9"/>
    </row>
    <row r="802" spans="2:7" ht="14.25" customHeight="1">
      <c r="B802" s="7"/>
      <c r="E802" s="7"/>
      <c r="G802" s="9"/>
    </row>
    <row r="803" spans="2:7" ht="14.25" customHeight="1">
      <c r="B803" s="7"/>
      <c r="E803" s="7"/>
      <c r="G803" s="9"/>
    </row>
    <row r="804" spans="2:7" ht="14.25" customHeight="1">
      <c r="B804" s="7"/>
      <c r="E804" s="7"/>
      <c r="G804" s="9"/>
    </row>
    <row r="805" spans="2:7" ht="14.25" customHeight="1">
      <c r="B805" s="7"/>
      <c r="E805" s="7"/>
      <c r="G805" s="9"/>
    </row>
    <row r="806" spans="2:7" ht="14.25" customHeight="1">
      <c r="B806" s="7"/>
      <c r="E806" s="7"/>
      <c r="G806" s="9"/>
    </row>
    <row r="807" spans="2:7" ht="14.25" customHeight="1">
      <c r="B807" s="7"/>
      <c r="E807" s="7"/>
      <c r="G807" s="9"/>
    </row>
    <row r="808" spans="2:7" ht="14.25" customHeight="1">
      <c r="B808" s="7"/>
      <c r="E808" s="7"/>
      <c r="G808" s="9"/>
    </row>
    <row r="809" spans="2:7" ht="14.25" customHeight="1">
      <c r="B809" s="7"/>
      <c r="E809" s="7"/>
      <c r="G809" s="9"/>
    </row>
    <row r="810" spans="2:7" ht="14.25" customHeight="1">
      <c r="B810" s="7"/>
      <c r="E810" s="7"/>
      <c r="G810" s="9"/>
    </row>
    <row r="811" spans="2:7" ht="14.25" customHeight="1">
      <c r="B811" s="7"/>
      <c r="E811" s="7"/>
      <c r="G811" s="9"/>
    </row>
    <row r="812" spans="2:7" ht="14.25" customHeight="1">
      <c r="B812" s="7"/>
      <c r="E812" s="7"/>
      <c r="G812" s="9"/>
    </row>
    <row r="813" spans="2:7" ht="14.25" customHeight="1">
      <c r="B813" s="7"/>
      <c r="E813" s="7"/>
      <c r="G813" s="9"/>
    </row>
    <row r="814" spans="2:7" ht="14.25" customHeight="1">
      <c r="B814" s="7"/>
      <c r="E814" s="7"/>
      <c r="G814" s="9"/>
    </row>
    <row r="815" spans="2:7" ht="14.25" customHeight="1">
      <c r="B815" s="7"/>
      <c r="E815" s="7"/>
      <c r="G815" s="9"/>
    </row>
    <row r="816" spans="2:7" ht="14.25" customHeight="1">
      <c r="B816" s="7"/>
      <c r="E816" s="7"/>
      <c r="G816" s="9"/>
    </row>
    <row r="817" spans="2:7" ht="14.25" customHeight="1">
      <c r="B817" s="7"/>
      <c r="E817" s="7"/>
      <c r="G817" s="9"/>
    </row>
    <row r="818" spans="2:7" ht="14.25" customHeight="1">
      <c r="B818" s="7"/>
      <c r="E818" s="7"/>
      <c r="G818" s="9"/>
    </row>
    <row r="819" spans="2:7" ht="14.25" customHeight="1">
      <c r="B819" s="7"/>
      <c r="E819" s="7"/>
      <c r="G819" s="9"/>
    </row>
    <row r="820" spans="2:7" ht="14.25" customHeight="1">
      <c r="B820" s="7"/>
      <c r="E820" s="7"/>
      <c r="G820" s="9"/>
    </row>
    <row r="821" spans="2:7" ht="14.25" customHeight="1">
      <c r="B821" s="7"/>
      <c r="E821" s="7"/>
      <c r="G821" s="9"/>
    </row>
    <row r="822" spans="2:7" ht="14.25" customHeight="1">
      <c r="B822" s="7"/>
      <c r="E822" s="7"/>
      <c r="G822" s="9"/>
    </row>
    <row r="823" spans="2:7" ht="14.25" customHeight="1">
      <c r="B823" s="7"/>
      <c r="E823" s="7"/>
      <c r="G823" s="9"/>
    </row>
    <row r="824" spans="2:7" ht="14.25" customHeight="1">
      <c r="B824" s="7"/>
      <c r="E824" s="7"/>
      <c r="G824" s="9"/>
    </row>
    <row r="825" spans="2:7" ht="14.25" customHeight="1">
      <c r="B825" s="7"/>
      <c r="E825" s="7"/>
      <c r="G825" s="9"/>
    </row>
    <row r="826" spans="2:7" ht="14.25" customHeight="1">
      <c r="B826" s="7"/>
      <c r="E826" s="7"/>
      <c r="G826" s="9"/>
    </row>
    <row r="827" spans="2:7" ht="14.25" customHeight="1">
      <c r="B827" s="7"/>
      <c r="E827" s="7"/>
      <c r="G827" s="9"/>
    </row>
    <row r="828" spans="2:7" ht="14.25" customHeight="1">
      <c r="B828" s="7"/>
      <c r="E828" s="7"/>
      <c r="G828" s="9"/>
    </row>
    <row r="829" spans="2:7" ht="14.25" customHeight="1">
      <c r="B829" s="7"/>
      <c r="E829" s="7"/>
      <c r="G829" s="9"/>
    </row>
    <row r="830" spans="2:7" ht="14.25" customHeight="1">
      <c r="B830" s="7"/>
      <c r="E830" s="7"/>
      <c r="G830" s="9"/>
    </row>
    <row r="831" spans="2:7" ht="14.25" customHeight="1">
      <c r="B831" s="7"/>
      <c r="E831" s="7"/>
      <c r="G831" s="9"/>
    </row>
    <row r="832" spans="2:7" ht="14.25" customHeight="1">
      <c r="B832" s="7"/>
      <c r="E832" s="7"/>
      <c r="G832" s="9"/>
    </row>
    <row r="833" spans="2:7" ht="14.25" customHeight="1">
      <c r="B833" s="7"/>
      <c r="E833" s="7"/>
      <c r="G833" s="9"/>
    </row>
    <row r="834" spans="2:7" ht="14.25" customHeight="1">
      <c r="B834" s="7"/>
      <c r="E834" s="7"/>
      <c r="G834" s="9"/>
    </row>
    <row r="835" spans="2:7" ht="14.25" customHeight="1">
      <c r="B835" s="7"/>
      <c r="E835" s="7"/>
      <c r="G835" s="9"/>
    </row>
    <row r="836" spans="2:7" ht="14.25" customHeight="1">
      <c r="B836" s="7"/>
      <c r="E836" s="7"/>
      <c r="G836" s="9"/>
    </row>
    <row r="837" spans="2:7" ht="14.25" customHeight="1">
      <c r="B837" s="7"/>
      <c r="E837" s="7"/>
      <c r="G837" s="9"/>
    </row>
    <row r="838" spans="2:7" ht="14.25" customHeight="1">
      <c r="B838" s="7"/>
      <c r="E838" s="7"/>
      <c r="G838" s="9"/>
    </row>
    <row r="839" spans="2:7" ht="14.25" customHeight="1">
      <c r="B839" s="7"/>
      <c r="E839" s="7"/>
      <c r="G839" s="9"/>
    </row>
    <row r="840" spans="2:7" ht="14.25" customHeight="1">
      <c r="B840" s="7"/>
      <c r="E840" s="7"/>
      <c r="G840" s="9"/>
    </row>
    <row r="841" spans="2:7" ht="14.25" customHeight="1">
      <c r="B841" s="7"/>
      <c r="E841" s="7"/>
      <c r="G841" s="9"/>
    </row>
    <row r="842" spans="2:7" ht="14.25" customHeight="1">
      <c r="B842" s="7"/>
      <c r="E842" s="7"/>
      <c r="G842" s="9"/>
    </row>
    <row r="843" spans="2:7" ht="14.25" customHeight="1">
      <c r="B843" s="7"/>
      <c r="E843" s="7"/>
      <c r="G843" s="9"/>
    </row>
    <row r="844" spans="2:7" ht="14.25" customHeight="1">
      <c r="B844" s="7"/>
      <c r="E844" s="7"/>
      <c r="G844" s="9"/>
    </row>
    <row r="845" spans="2:7" ht="14.25" customHeight="1">
      <c r="B845" s="7"/>
      <c r="E845" s="7"/>
      <c r="G845" s="9"/>
    </row>
    <row r="846" spans="2:7" ht="14.25" customHeight="1">
      <c r="B846" s="7"/>
      <c r="E846" s="7"/>
      <c r="G846" s="9"/>
    </row>
    <row r="847" spans="2:7" ht="14.25" customHeight="1">
      <c r="B847" s="7"/>
      <c r="E847" s="7"/>
      <c r="G847" s="9"/>
    </row>
    <row r="848" spans="2:7" ht="14.25" customHeight="1">
      <c r="B848" s="7"/>
      <c r="E848" s="7"/>
      <c r="G848" s="9"/>
    </row>
    <row r="849" spans="2:7" ht="14.25" customHeight="1">
      <c r="B849" s="7"/>
      <c r="E849" s="7"/>
      <c r="G849" s="9"/>
    </row>
    <row r="850" spans="2:7" ht="14.25" customHeight="1">
      <c r="B850" s="7"/>
      <c r="E850" s="7"/>
      <c r="G850" s="9"/>
    </row>
    <row r="851" spans="2:7" ht="14.25" customHeight="1">
      <c r="B851" s="7"/>
      <c r="E851" s="7"/>
      <c r="G851" s="9"/>
    </row>
    <row r="852" spans="2:7" ht="14.25" customHeight="1">
      <c r="B852" s="7"/>
      <c r="E852" s="7"/>
      <c r="G852" s="9"/>
    </row>
    <row r="853" spans="2:7" ht="14.25" customHeight="1">
      <c r="B853" s="7"/>
      <c r="E853" s="7"/>
      <c r="G853" s="9"/>
    </row>
    <row r="854" spans="2:7" ht="14.25" customHeight="1">
      <c r="B854" s="7"/>
      <c r="E854" s="7"/>
      <c r="G854" s="9"/>
    </row>
    <row r="855" spans="2:7" ht="14.25" customHeight="1">
      <c r="B855" s="7"/>
      <c r="E855" s="7"/>
      <c r="G855" s="9"/>
    </row>
    <row r="856" spans="2:7" ht="14.25" customHeight="1">
      <c r="B856" s="7"/>
      <c r="E856" s="7"/>
      <c r="G856" s="9"/>
    </row>
    <row r="857" spans="2:7" ht="14.25" customHeight="1">
      <c r="B857" s="7"/>
      <c r="E857" s="7"/>
      <c r="G857" s="9"/>
    </row>
    <row r="858" spans="2:7" ht="14.25" customHeight="1">
      <c r="B858" s="7"/>
      <c r="E858" s="7"/>
      <c r="G858" s="9"/>
    </row>
    <row r="859" spans="2:7" ht="14.25" customHeight="1">
      <c r="B859" s="7"/>
      <c r="E859" s="7"/>
      <c r="G859" s="9"/>
    </row>
    <row r="860" spans="2:7" ht="14.25" customHeight="1">
      <c r="B860" s="7"/>
      <c r="E860" s="7"/>
      <c r="G860" s="9"/>
    </row>
    <row r="861" spans="2:7" ht="14.25" customHeight="1">
      <c r="B861" s="7"/>
      <c r="E861" s="7"/>
      <c r="G861" s="9"/>
    </row>
    <row r="862" spans="2:7" ht="14.25" customHeight="1">
      <c r="B862" s="7"/>
      <c r="E862" s="7"/>
      <c r="G862" s="9"/>
    </row>
    <row r="863" spans="2:7" ht="14.25" customHeight="1">
      <c r="B863" s="7"/>
      <c r="E863" s="7"/>
      <c r="G863" s="9"/>
    </row>
    <row r="864" spans="2:7" ht="14.25" customHeight="1">
      <c r="B864" s="7"/>
      <c r="E864" s="7"/>
      <c r="G864" s="9"/>
    </row>
    <row r="865" spans="2:7" ht="14.25" customHeight="1">
      <c r="B865" s="7"/>
      <c r="E865" s="7"/>
      <c r="G865" s="9"/>
    </row>
    <row r="866" spans="2:7" ht="14.25" customHeight="1">
      <c r="B866" s="7"/>
      <c r="E866" s="7"/>
      <c r="G866" s="9"/>
    </row>
    <row r="867" spans="2:7" ht="14.25" customHeight="1">
      <c r="B867" s="7"/>
      <c r="E867" s="7"/>
      <c r="G867" s="9"/>
    </row>
    <row r="868" spans="2:7" ht="14.25" customHeight="1">
      <c r="B868" s="7"/>
      <c r="E868" s="7"/>
      <c r="G868" s="9"/>
    </row>
    <row r="869" spans="2:7" ht="14.25" customHeight="1">
      <c r="B869" s="7"/>
      <c r="E869" s="7"/>
      <c r="G869" s="9"/>
    </row>
    <row r="870" spans="2:7" ht="14.25" customHeight="1">
      <c r="B870" s="7"/>
      <c r="E870" s="7"/>
      <c r="G870" s="9"/>
    </row>
    <row r="871" spans="2:7" ht="14.25" customHeight="1">
      <c r="B871" s="7"/>
      <c r="E871" s="7"/>
      <c r="G871" s="9"/>
    </row>
    <row r="872" spans="2:7" ht="14.25" customHeight="1">
      <c r="B872" s="7"/>
      <c r="E872" s="7"/>
      <c r="G872" s="9"/>
    </row>
    <row r="873" spans="2:7" ht="14.25" customHeight="1">
      <c r="B873" s="7"/>
      <c r="E873" s="7"/>
      <c r="G873" s="9"/>
    </row>
    <row r="874" spans="2:7" ht="14.25" customHeight="1">
      <c r="B874" s="7"/>
      <c r="E874" s="7"/>
      <c r="G874" s="9"/>
    </row>
    <row r="875" spans="2:7" ht="14.25" customHeight="1">
      <c r="B875" s="7"/>
      <c r="E875" s="7"/>
      <c r="G875" s="9"/>
    </row>
    <row r="876" spans="2:7" ht="14.25" customHeight="1">
      <c r="B876" s="7"/>
      <c r="E876" s="7"/>
      <c r="G876" s="9"/>
    </row>
    <row r="877" spans="2:7" ht="14.25" customHeight="1">
      <c r="B877" s="7"/>
      <c r="E877" s="7"/>
      <c r="G877" s="9"/>
    </row>
    <row r="878" spans="2:7" ht="14.25" customHeight="1">
      <c r="B878" s="7"/>
      <c r="E878" s="7"/>
      <c r="G878" s="9"/>
    </row>
    <row r="879" spans="2:7" ht="14.25" customHeight="1">
      <c r="B879" s="7"/>
      <c r="E879" s="7"/>
      <c r="G879" s="9"/>
    </row>
    <row r="880" spans="2:7" ht="14.25" customHeight="1">
      <c r="B880" s="7"/>
      <c r="E880" s="7"/>
      <c r="G880" s="9"/>
    </row>
    <row r="881" spans="2:7" ht="14.25" customHeight="1">
      <c r="B881" s="7"/>
      <c r="E881" s="7"/>
      <c r="G881" s="9"/>
    </row>
    <row r="882" spans="2:7" ht="14.25" customHeight="1">
      <c r="B882" s="7"/>
      <c r="E882" s="7"/>
      <c r="G882" s="9"/>
    </row>
    <row r="883" spans="2:7" ht="14.25" customHeight="1">
      <c r="B883" s="7"/>
      <c r="E883" s="7"/>
      <c r="G883" s="9"/>
    </row>
    <row r="884" spans="2:7" ht="14.25" customHeight="1">
      <c r="B884" s="7"/>
      <c r="E884" s="7"/>
      <c r="G884" s="9"/>
    </row>
    <row r="885" spans="2:7" ht="14.25" customHeight="1">
      <c r="B885" s="7"/>
      <c r="E885" s="7"/>
      <c r="G885" s="9"/>
    </row>
    <row r="886" spans="2:7" ht="14.25" customHeight="1">
      <c r="B886" s="7"/>
      <c r="E886" s="7"/>
      <c r="G886" s="9"/>
    </row>
    <row r="887" spans="2:7" ht="14.25" customHeight="1">
      <c r="B887" s="7"/>
      <c r="E887" s="7"/>
      <c r="G887" s="9"/>
    </row>
    <row r="888" spans="2:7" ht="14.25" customHeight="1">
      <c r="B888" s="7"/>
      <c r="E888" s="7"/>
      <c r="G888" s="9"/>
    </row>
    <row r="889" spans="2:7" ht="14.25" customHeight="1">
      <c r="B889" s="7"/>
      <c r="E889" s="7"/>
      <c r="G889" s="9"/>
    </row>
    <row r="890" spans="2:7" ht="14.25" customHeight="1">
      <c r="B890" s="7"/>
      <c r="E890" s="7"/>
      <c r="G890" s="9"/>
    </row>
    <row r="891" spans="2:7" ht="14.25" customHeight="1">
      <c r="B891" s="7"/>
      <c r="E891" s="7"/>
      <c r="G891" s="9"/>
    </row>
    <row r="892" spans="2:7" ht="14.25" customHeight="1">
      <c r="B892" s="7"/>
      <c r="E892" s="7"/>
      <c r="G892" s="9"/>
    </row>
    <row r="893" spans="2:7" ht="14.25" customHeight="1">
      <c r="B893" s="7"/>
      <c r="E893" s="7"/>
      <c r="G893" s="9"/>
    </row>
    <row r="894" spans="2:7" ht="14.25" customHeight="1">
      <c r="B894" s="7"/>
      <c r="E894" s="7"/>
      <c r="G894" s="9"/>
    </row>
    <row r="895" spans="2:7" ht="14.25" customHeight="1">
      <c r="B895" s="7"/>
      <c r="E895" s="7"/>
      <c r="G895" s="9"/>
    </row>
    <row r="896" spans="2:7" ht="14.25" customHeight="1">
      <c r="B896" s="7"/>
      <c r="E896" s="7"/>
      <c r="G896" s="9"/>
    </row>
    <row r="897" spans="2:7" ht="14.25" customHeight="1">
      <c r="B897" s="7"/>
      <c r="E897" s="7"/>
      <c r="G897" s="9"/>
    </row>
    <row r="898" spans="2:7" ht="14.25" customHeight="1">
      <c r="B898" s="7"/>
      <c r="E898" s="7"/>
      <c r="G898" s="9"/>
    </row>
    <row r="899" spans="2:7" ht="14.25" customHeight="1">
      <c r="B899" s="7"/>
      <c r="E899" s="7"/>
      <c r="G899" s="9"/>
    </row>
    <row r="900" spans="2:7" ht="14.25" customHeight="1">
      <c r="B900" s="7"/>
      <c r="E900" s="7"/>
      <c r="G900" s="9"/>
    </row>
    <row r="901" spans="2:7" ht="14.25" customHeight="1">
      <c r="B901" s="7"/>
      <c r="E901" s="7"/>
      <c r="G901" s="9"/>
    </row>
    <row r="902" spans="2:7" ht="14.25" customHeight="1">
      <c r="B902" s="7"/>
      <c r="E902" s="7"/>
      <c r="G902" s="9"/>
    </row>
    <row r="903" spans="2:7" ht="14.25" customHeight="1">
      <c r="B903" s="7"/>
      <c r="E903" s="7"/>
      <c r="G903" s="9"/>
    </row>
    <row r="904" spans="2:7" ht="14.25" customHeight="1">
      <c r="B904" s="7"/>
      <c r="E904" s="7"/>
      <c r="G904" s="9"/>
    </row>
    <row r="905" spans="2:7" ht="14.25" customHeight="1">
      <c r="B905" s="7"/>
      <c r="E905" s="7"/>
      <c r="G905" s="9"/>
    </row>
    <row r="906" spans="2:7" ht="14.25" customHeight="1">
      <c r="B906" s="7"/>
      <c r="E906" s="7"/>
      <c r="G906" s="9"/>
    </row>
    <row r="907" spans="2:7" ht="14.25" customHeight="1">
      <c r="B907" s="7"/>
      <c r="E907" s="7"/>
      <c r="G907" s="9"/>
    </row>
    <row r="908" spans="2:7" ht="14.25" customHeight="1">
      <c r="B908" s="7"/>
      <c r="E908" s="7"/>
      <c r="G908" s="9"/>
    </row>
    <row r="909" spans="2:7" ht="14.25" customHeight="1">
      <c r="B909" s="7"/>
      <c r="E909" s="7"/>
      <c r="G909" s="9"/>
    </row>
    <row r="910" spans="2:7" ht="14.25" customHeight="1">
      <c r="B910" s="7"/>
      <c r="E910" s="7"/>
      <c r="G910" s="9"/>
    </row>
    <row r="911" spans="2:7" ht="14.25" customHeight="1">
      <c r="B911" s="7"/>
      <c r="E911" s="7"/>
      <c r="G911" s="9"/>
    </row>
    <row r="912" spans="2:7" ht="14.25" customHeight="1">
      <c r="B912" s="7"/>
      <c r="E912" s="7"/>
      <c r="G912" s="9"/>
    </row>
    <row r="913" spans="2:7" ht="14.25" customHeight="1">
      <c r="B913" s="7"/>
      <c r="E913" s="7"/>
      <c r="G913" s="9"/>
    </row>
    <row r="914" spans="2:7" ht="14.25" customHeight="1">
      <c r="B914" s="7"/>
      <c r="E914" s="7"/>
      <c r="G914" s="9"/>
    </row>
    <row r="915" spans="2:7" ht="14.25" customHeight="1">
      <c r="B915" s="7"/>
      <c r="E915" s="7"/>
      <c r="G915" s="9"/>
    </row>
    <row r="916" spans="2:7" ht="14.25" customHeight="1">
      <c r="B916" s="7"/>
      <c r="E916" s="7"/>
      <c r="G916" s="9"/>
    </row>
    <row r="917" spans="2:7" ht="14.25" customHeight="1">
      <c r="B917" s="7"/>
      <c r="E917" s="7"/>
      <c r="G917" s="9"/>
    </row>
    <row r="918" spans="2:7" ht="14.25" customHeight="1">
      <c r="B918" s="7"/>
      <c r="E918" s="7"/>
      <c r="G918" s="9"/>
    </row>
    <row r="919" spans="2:7" ht="14.25" customHeight="1">
      <c r="B919" s="7"/>
      <c r="E919" s="7"/>
      <c r="G919" s="9"/>
    </row>
    <row r="920" spans="2:7" ht="14.25" customHeight="1">
      <c r="B920" s="7"/>
      <c r="E920" s="7"/>
      <c r="G920" s="9"/>
    </row>
    <row r="921" spans="2:7" ht="14.25" customHeight="1">
      <c r="B921" s="7"/>
      <c r="E921" s="7"/>
      <c r="G921" s="9"/>
    </row>
    <row r="922" spans="2:7" ht="14.25" customHeight="1">
      <c r="B922" s="7"/>
      <c r="E922" s="7"/>
      <c r="G922" s="9"/>
    </row>
    <row r="923" spans="2:7" ht="14.25" customHeight="1">
      <c r="B923" s="7"/>
      <c r="E923" s="7"/>
      <c r="G923" s="9"/>
    </row>
    <row r="924" spans="2:7" ht="14.25" customHeight="1">
      <c r="B924" s="7"/>
      <c r="E924" s="7"/>
      <c r="G924" s="9"/>
    </row>
    <row r="925" spans="2:7" ht="14.25" customHeight="1">
      <c r="B925" s="7"/>
      <c r="E925" s="7"/>
      <c r="G925" s="9"/>
    </row>
    <row r="926" spans="2:7" ht="14.25" customHeight="1">
      <c r="B926" s="7"/>
      <c r="E926" s="7"/>
      <c r="G926" s="9"/>
    </row>
    <row r="927" spans="2:7" ht="14.25" customHeight="1">
      <c r="B927" s="7"/>
      <c r="E927" s="7"/>
      <c r="G927" s="9"/>
    </row>
    <row r="928" spans="2:7" ht="14.25" customHeight="1">
      <c r="B928" s="7"/>
      <c r="E928" s="7"/>
      <c r="G928" s="9"/>
    </row>
    <row r="929" spans="2:7" ht="14.25" customHeight="1">
      <c r="B929" s="7"/>
      <c r="E929" s="7"/>
      <c r="G929" s="9"/>
    </row>
    <row r="930" spans="2:7" ht="14.25" customHeight="1">
      <c r="B930" s="7"/>
      <c r="E930" s="7"/>
      <c r="G930" s="9"/>
    </row>
    <row r="931" spans="2:7" ht="14.25" customHeight="1">
      <c r="B931" s="7"/>
      <c r="E931" s="7"/>
      <c r="G931" s="9"/>
    </row>
    <row r="932" spans="2:7" ht="14.25" customHeight="1">
      <c r="B932" s="7"/>
      <c r="E932" s="7"/>
      <c r="G932" s="9"/>
    </row>
    <row r="933" spans="2:7" ht="14.25" customHeight="1">
      <c r="B933" s="7"/>
      <c r="E933" s="7"/>
      <c r="G933" s="9"/>
    </row>
    <row r="934" spans="2:7" ht="14.25" customHeight="1">
      <c r="B934" s="7"/>
      <c r="E934" s="7"/>
      <c r="G934" s="9"/>
    </row>
    <row r="935" spans="2:7" ht="14.25" customHeight="1">
      <c r="B935" s="7"/>
      <c r="E935" s="7"/>
      <c r="G935" s="9"/>
    </row>
    <row r="936" spans="2:7" ht="14.25" customHeight="1">
      <c r="B936" s="7"/>
      <c r="E936" s="7"/>
      <c r="G936" s="9"/>
    </row>
    <row r="937" spans="2:7" ht="14.25" customHeight="1">
      <c r="B937" s="7"/>
      <c r="E937" s="7"/>
      <c r="G937" s="9"/>
    </row>
    <row r="938" spans="2:7" ht="14.25" customHeight="1">
      <c r="B938" s="7"/>
      <c r="E938" s="7"/>
      <c r="G938" s="9"/>
    </row>
    <row r="939" spans="2:7" ht="14.25" customHeight="1">
      <c r="B939" s="7"/>
      <c r="E939" s="7"/>
      <c r="G939" s="9"/>
    </row>
    <row r="940" spans="2:7" ht="14.25" customHeight="1">
      <c r="B940" s="7"/>
      <c r="E940" s="7"/>
      <c r="G940" s="9"/>
    </row>
    <row r="941" spans="2:7" ht="14.25" customHeight="1">
      <c r="B941" s="7"/>
      <c r="E941" s="7"/>
      <c r="G941" s="9"/>
    </row>
    <row r="942" spans="2:7" ht="14.25" customHeight="1">
      <c r="B942" s="7"/>
      <c r="E942" s="7"/>
      <c r="G942" s="9"/>
    </row>
    <row r="943" spans="2:7" ht="14.25" customHeight="1">
      <c r="B943" s="7"/>
      <c r="E943" s="7"/>
      <c r="G943" s="9"/>
    </row>
    <row r="944" spans="2:7" ht="14.25" customHeight="1">
      <c r="B944" s="7"/>
      <c r="E944" s="7"/>
      <c r="G944" s="9"/>
    </row>
    <row r="945" spans="2:7" ht="14.25" customHeight="1">
      <c r="B945" s="7"/>
      <c r="E945" s="7"/>
      <c r="G945" s="9"/>
    </row>
    <row r="946" spans="2:7" ht="14.25" customHeight="1">
      <c r="B946" s="7"/>
      <c r="E946" s="7"/>
      <c r="G946" s="9"/>
    </row>
    <row r="947" spans="2:7" ht="14.25" customHeight="1">
      <c r="B947" s="7"/>
      <c r="E947" s="7"/>
      <c r="G947" s="9"/>
    </row>
    <row r="948" spans="2:7" ht="14.25" customHeight="1">
      <c r="B948" s="7"/>
      <c r="E948" s="7"/>
      <c r="G948" s="9"/>
    </row>
    <row r="949" spans="2:7" ht="14.25" customHeight="1">
      <c r="B949" s="7"/>
      <c r="E949" s="7"/>
      <c r="G949" s="9"/>
    </row>
    <row r="950" spans="2:7" ht="14.25" customHeight="1">
      <c r="B950" s="7"/>
      <c r="E950" s="7"/>
      <c r="G950" s="9"/>
    </row>
    <row r="951" spans="2:7" ht="14.25" customHeight="1">
      <c r="B951" s="7"/>
      <c r="E951" s="7"/>
      <c r="G951" s="9"/>
    </row>
    <row r="952" spans="2:7" ht="14.25" customHeight="1">
      <c r="B952" s="7"/>
      <c r="E952" s="7"/>
      <c r="G952" s="9"/>
    </row>
    <row r="953" spans="2:7" ht="14.25" customHeight="1">
      <c r="B953" s="7"/>
      <c r="E953" s="7"/>
      <c r="G953" s="9"/>
    </row>
    <row r="954" spans="2:7" ht="14.25" customHeight="1">
      <c r="B954" s="7"/>
      <c r="E954" s="7"/>
      <c r="G954" s="9"/>
    </row>
    <row r="955" spans="2:7" ht="14.25" customHeight="1">
      <c r="B955" s="7"/>
      <c r="E955" s="7"/>
      <c r="G955" s="9"/>
    </row>
    <row r="956" spans="2:7" ht="14.25" customHeight="1">
      <c r="B956" s="7"/>
      <c r="E956" s="7"/>
      <c r="G956" s="9"/>
    </row>
    <row r="957" spans="2:7" ht="14.25" customHeight="1">
      <c r="B957" s="7"/>
      <c r="E957" s="7"/>
      <c r="G957" s="9"/>
    </row>
    <row r="958" spans="2:7" ht="14.25" customHeight="1">
      <c r="B958" s="7"/>
      <c r="E958" s="7"/>
      <c r="G958" s="9"/>
    </row>
    <row r="959" spans="2:7" ht="14.25" customHeight="1">
      <c r="B959" s="7"/>
      <c r="E959" s="7"/>
      <c r="G959" s="9"/>
    </row>
    <row r="960" spans="2:7" ht="14.25" customHeight="1">
      <c r="B960" s="7"/>
      <c r="E960" s="7"/>
      <c r="G960" s="9"/>
    </row>
    <row r="961" spans="2:7" ht="14.25" customHeight="1">
      <c r="B961" s="7"/>
      <c r="E961" s="7"/>
      <c r="G961" s="9"/>
    </row>
    <row r="962" spans="2:7" ht="14.25" customHeight="1">
      <c r="B962" s="7"/>
      <c r="E962" s="7"/>
      <c r="G962" s="9"/>
    </row>
    <row r="963" spans="2:7" ht="14.25" customHeight="1">
      <c r="B963" s="7"/>
      <c r="E963" s="7"/>
      <c r="G963" s="9"/>
    </row>
    <row r="964" spans="2:7" ht="14.25" customHeight="1">
      <c r="B964" s="7"/>
      <c r="E964" s="7"/>
      <c r="G964" s="9"/>
    </row>
    <row r="965" spans="2:7" ht="14.25" customHeight="1">
      <c r="B965" s="7"/>
      <c r="E965" s="7"/>
      <c r="G965" s="9"/>
    </row>
    <row r="966" spans="2:7" ht="14.25" customHeight="1">
      <c r="B966" s="7"/>
      <c r="E966" s="7"/>
      <c r="G966" s="9"/>
    </row>
    <row r="967" spans="2:7" ht="14.25" customHeight="1">
      <c r="B967" s="7"/>
      <c r="E967" s="7"/>
      <c r="G967" s="9"/>
    </row>
    <row r="968" spans="2:7" ht="14.25" customHeight="1">
      <c r="B968" s="7"/>
      <c r="E968" s="7"/>
      <c r="G968" s="9"/>
    </row>
    <row r="969" spans="2:7" ht="14.25" customHeight="1">
      <c r="B969" s="7"/>
      <c r="E969" s="7"/>
      <c r="G969" s="9"/>
    </row>
    <row r="970" spans="2:7" ht="14.25" customHeight="1">
      <c r="B970" s="7"/>
      <c r="E970" s="7"/>
      <c r="G970" s="9"/>
    </row>
    <row r="971" spans="2:7" ht="14.25" customHeight="1">
      <c r="B971" s="7"/>
      <c r="E971" s="7"/>
      <c r="G971" s="9"/>
    </row>
    <row r="972" spans="2:7" ht="14.25" customHeight="1">
      <c r="B972" s="7"/>
      <c r="E972" s="7"/>
      <c r="G972" s="9"/>
    </row>
    <row r="973" spans="2:7" ht="14.25" customHeight="1">
      <c r="B973" s="7"/>
      <c r="E973" s="7"/>
      <c r="G973" s="9"/>
    </row>
    <row r="974" spans="2:7" ht="14.25" customHeight="1">
      <c r="B974" s="7"/>
      <c r="E974" s="7"/>
      <c r="G974" s="9"/>
    </row>
    <row r="975" spans="2:7" ht="14.25" customHeight="1">
      <c r="B975" s="7"/>
      <c r="E975" s="7"/>
      <c r="G975" s="9"/>
    </row>
    <row r="976" spans="2:7" ht="14.25" customHeight="1">
      <c r="B976" s="7"/>
      <c r="E976" s="7"/>
      <c r="G976" s="9"/>
    </row>
    <row r="977" spans="2:7" ht="14.25" customHeight="1">
      <c r="B977" s="7"/>
      <c r="E977" s="7"/>
      <c r="G977" s="9"/>
    </row>
    <row r="978" spans="2:7" ht="14.25" customHeight="1">
      <c r="B978" s="7"/>
      <c r="E978" s="7"/>
      <c r="G978" s="9"/>
    </row>
    <row r="979" spans="2:7" ht="14.25" customHeight="1">
      <c r="B979" s="7"/>
      <c r="E979" s="7"/>
      <c r="G979" s="9"/>
    </row>
    <row r="980" spans="2:7" ht="14.25" customHeight="1">
      <c r="B980" s="7"/>
      <c r="E980" s="7"/>
      <c r="G980" s="9"/>
    </row>
    <row r="981" spans="2:7" ht="14.25" customHeight="1">
      <c r="B981" s="7"/>
      <c r="E981" s="7"/>
      <c r="G981" s="9"/>
    </row>
    <row r="982" spans="2:7" ht="14.25" customHeight="1">
      <c r="B982" s="7"/>
      <c r="E982" s="7"/>
      <c r="G982" s="9"/>
    </row>
    <row r="983" spans="2:7" ht="14.25" customHeight="1">
      <c r="B983" s="7"/>
      <c r="E983" s="7"/>
      <c r="G983" s="9"/>
    </row>
    <row r="984" spans="2:7" ht="14.25" customHeight="1">
      <c r="B984" s="7"/>
      <c r="E984" s="7"/>
      <c r="G984" s="9"/>
    </row>
    <row r="985" spans="2:7" ht="14.25" customHeight="1">
      <c r="B985" s="7"/>
      <c r="E985" s="7"/>
      <c r="G985" s="9"/>
    </row>
    <row r="986" spans="2:7" ht="14.25" customHeight="1">
      <c r="B986" s="7"/>
      <c r="E986" s="7"/>
      <c r="G986" s="9"/>
    </row>
    <row r="987" spans="2:7" ht="14.25" customHeight="1">
      <c r="B987" s="7"/>
      <c r="E987" s="7"/>
      <c r="G987" s="9"/>
    </row>
    <row r="988" spans="2:7" ht="14.25" customHeight="1">
      <c r="B988" s="7"/>
      <c r="E988" s="7"/>
      <c r="G988" s="9"/>
    </row>
    <row r="989" spans="2:7" ht="14.25" customHeight="1">
      <c r="B989" s="7"/>
      <c r="E989" s="7"/>
      <c r="G989" s="9"/>
    </row>
    <row r="990" spans="2:7" ht="14.25" customHeight="1">
      <c r="B990" s="7"/>
      <c r="E990" s="7"/>
      <c r="G990" s="9"/>
    </row>
    <row r="991" spans="2:7" ht="14.25" customHeight="1">
      <c r="B991" s="7"/>
      <c r="E991" s="7"/>
      <c r="G991" s="9"/>
    </row>
    <row r="992" spans="2:7" ht="14.25" customHeight="1">
      <c r="B992" s="7"/>
      <c r="E992" s="7"/>
      <c r="G992" s="9"/>
    </row>
    <row r="993" spans="2:7" ht="14.25" customHeight="1">
      <c r="B993" s="7"/>
      <c r="E993" s="7"/>
      <c r="G993" s="9"/>
    </row>
    <row r="994" spans="2:7" ht="14.25" customHeight="1">
      <c r="B994" s="7"/>
      <c r="E994" s="7"/>
      <c r="G994" s="9"/>
    </row>
    <row r="995" spans="2:7" ht="14.25" customHeight="1">
      <c r="B995" s="7"/>
      <c r="E995" s="7"/>
      <c r="G995" s="9"/>
    </row>
    <row r="996" spans="2:7" ht="14.25" customHeight="1">
      <c r="B996" s="7"/>
      <c r="E996" s="7"/>
      <c r="G996" s="9"/>
    </row>
    <row r="997" spans="2:7" ht="14.25" customHeight="1">
      <c r="B997" s="7"/>
      <c r="E997" s="7"/>
      <c r="G997" s="9"/>
    </row>
    <row r="998" spans="2:7" ht="14.25" customHeight="1">
      <c r="B998" s="7"/>
      <c r="E998" s="7"/>
      <c r="G998" s="9"/>
    </row>
    <row r="999" spans="2:7" ht="14.25" customHeight="1">
      <c r="B999" s="7"/>
      <c r="E999" s="7"/>
      <c r="G999" s="9"/>
    </row>
    <row r="1000" spans="2:7" ht="14.25" customHeight="1">
      <c r="B1000" s="7"/>
      <c r="E1000" s="7"/>
      <c r="G1000" s="9"/>
    </row>
  </sheetData>
  <mergeCells count="23">
    <mergeCell ref="A1:C1"/>
    <mergeCell ref="E1:G1"/>
    <mergeCell ref="A2:B2"/>
    <mergeCell ref="G2:G11"/>
    <mergeCell ref="H2:I2"/>
    <mergeCell ref="A3:B3"/>
    <mergeCell ref="A4:B4"/>
    <mergeCell ref="A8:B8"/>
    <mergeCell ref="A10:B10"/>
    <mergeCell ref="A11:B11"/>
    <mergeCell ref="H3:I3"/>
    <mergeCell ref="H4:I4"/>
    <mergeCell ref="A5:B5"/>
    <mergeCell ref="A6:B6"/>
    <mergeCell ref="A7:B7"/>
    <mergeCell ref="A16:B16"/>
    <mergeCell ref="A18:B18"/>
    <mergeCell ref="G12:G14"/>
    <mergeCell ref="A13:B13"/>
    <mergeCell ref="A14:B14"/>
    <mergeCell ref="D18:U18"/>
    <mergeCell ref="A12:B12"/>
    <mergeCell ref="A15:B15"/>
  </mergeCells>
  <hyperlinks>
    <hyperlink ref="H3" r:id="rId1"/>
  </hyperlinks>
  <pageMargins left="0.7" right="0.7" top="0.75" bottom="0.75" header="0" footer="0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2"/>
  <dimension ref="B1:H1000"/>
  <sheetViews>
    <sheetView topLeftCell="A43" workbookViewId="0">
      <selection activeCell="M33" sqref="M33"/>
    </sheetView>
  </sheetViews>
  <sheetFormatPr defaultColWidth="14.42578125" defaultRowHeight="15" customHeight="1"/>
  <cols>
    <col min="1" max="1" width="3.7109375" customWidth="1"/>
    <col min="2" max="2" width="24.85546875" customWidth="1"/>
    <col min="3" max="3" width="7.140625" customWidth="1"/>
    <col min="4" max="4" width="39.85546875" customWidth="1"/>
    <col min="5" max="5" width="3.5703125" customWidth="1"/>
    <col min="6" max="26" width="8.7109375" customWidth="1"/>
  </cols>
  <sheetData>
    <row r="1" spans="2:5" ht="14.25" customHeight="1"/>
    <row r="2" spans="2:5" ht="14.25" customHeight="1"/>
    <row r="3" spans="2:5" ht="14.25" customHeight="1"/>
    <row r="4" spans="2:5" ht="14.25" customHeight="1"/>
    <row r="5" spans="2:5" ht="14.25" customHeight="1"/>
    <row r="6" spans="2:5" ht="14.25" customHeight="1"/>
    <row r="7" spans="2:5" ht="14.25" customHeight="1"/>
    <row r="8" spans="2:5" ht="14.25" customHeight="1"/>
    <row r="9" spans="2:5" ht="14.25" customHeight="1"/>
    <row r="10" spans="2:5" ht="14.25" customHeight="1"/>
    <row r="11" spans="2:5" ht="14.25" customHeight="1"/>
    <row r="12" spans="2:5" ht="14.25" customHeight="1"/>
    <row r="13" spans="2:5" ht="14.25" customHeight="1"/>
    <row r="14" spans="2:5" ht="14.25" customHeight="1"/>
    <row r="15" spans="2:5" ht="25.5">
      <c r="B15" s="121" t="s">
        <v>106</v>
      </c>
      <c r="C15" s="122"/>
      <c r="D15" s="122"/>
      <c r="E15" s="19"/>
    </row>
    <row r="16" spans="2:5" ht="25.5">
      <c r="B16" s="123" t="s">
        <v>107</v>
      </c>
      <c r="C16" s="124"/>
      <c r="D16" s="124"/>
      <c r="E16" s="124"/>
    </row>
    <row r="17" spans="2:5" ht="14.25" customHeight="1"/>
    <row r="18" spans="2:5" ht="14.25" customHeight="1"/>
    <row r="19" spans="2:5" ht="14.25" customHeight="1"/>
    <row r="20" spans="2:5" ht="14.25" customHeight="1"/>
    <row r="21" spans="2:5" ht="36" customHeight="1">
      <c r="B21" s="20" t="s">
        <v>2</v>
      </c>
      <c r="C21" s="21" t="s">
        <v>108</v>
      </c>
      <c r="D21" s="116" t="str">
        <f>IDENTITAS!C2</f>
        <v>ARRODLIYAH</v>
      </c>
      <c r="E21" s="117"/>
    </row>
    <row r="22" spans="2:5" ht="21.75" customHeight="1">
      <c r="B22" s="20" t="s">
        <v>7</v>
      </c>
      <c r="C22" s="21" t="s">
        <v>108</v>
      </c>
      <c r="D22" s="125" t="str">
        <f>IDENTITAS!C3</f>
        <v>311233280578</v>
      </c>
      <c r="E22" s="117"/>
    </row>
    <row r="23" spans="2:5" ht="21.75" customHeight="1">
      <c r="B23" s="20" t="s">
        <v>11</v>
      </c>
      <c r="C23" s="21" t="s">
        <v>108</v>
      </c>
      <c r="D23" s="125" t="str">
        <f>IDENTITAS!C4</f>
        <v>Gg. Madrasah RT 08 RW 01 No.19</v>
      </c>
      <c r="E23" s="117"/>
    </row>
    <row r="24" spans="2:5" ht="21.75" customHeight="1">
      <c r="B24" s="20" t="s">
        <v>15</v>
      </c>
      <c r="C24" s="21" t="s">
        <v>108</v>
      </c>
      <c r="D24" s="116" t="str">
        <f>IDENTITAS!C5</f>
        <v>DUKUHTURI</v>
      </c>
      <c r="E24" s="117"/>
    </row>
    <row r="25" spans="2:5" ht="21.75" customHeight="1">
      <c r="B25" s="20" t="s">
        <v>18</v>
      </c>
      <c r="C25" s="21" t="s">
        <v>108</v>
      </c>
      <c r="D25" s="116" t="str">
        <f>IDENTITAS!C6</f>
        <v>DUKUHTURI</v>
      </c>
      <c r="E25" s="117"/>
    </row>
    <row r="26" spans="2:5" ht="21.75" customHeight="1">
      <c r="B26" s="20" t="s">
        <v>20</v>
      </c>
      <c r="C26" s="21" t="s">
        <v>108</v>
      </c>
      <c r="D26" s="116" t="str">
        <f>IDENTITAS!C7</f>
        <v>KABUPATEN TEGAL</v>
      </c>
      <c r="E26" s="117"/>
    </row>
    <row r="27" spans="2:5" ht="21.75" customHeight="1">
      <c r="B27" s="20" t="s">
        <v>23</v>
      </c>
      <c r="C27" s="21" t="s">
        <v>108</v>
      </c>
      <c r="D27" s="116" t="str">
        <f>IDENTITAS!C8</f>
        <v>JAWA TENGAH</v>
      </c>
      <c r="E27" s="117"/>
    </row>
    <row r="28" spans="2:5" ht="14.25" customHeight="1"/>
    <row r="29" spans="2:5" ht="14.25" customHeight="1"/>
    <row r="30" spans="2:5" ht="14.25" customHeight="1"/>
    <row r="31" spans="2:5" ht="14.25" customHeight="1"/>
    <row r="32" spans="2:5" ht="14.25" customHeight="1"/>
    <row r="33" spans="2:8" ht="48.75" customHeight="1">
      <c r="B33" s="118" t="s">
        <v>109</v>
      </c>
      <c r="C33" s="117"/>
      <c r="D33" s="117"/>
      <c r="E33" s="117"/>
      <c r="H33" s="22"/>
    </row>
    <row r="34" spans="2:8" ht="6" customHeight="1"/>
    <row r="35" spans="2:8" ht="28.5" customHeight="1">
      <c r="B35" s="119" t="str">
        <f>IF(G35="","",IFERROR(VLOOKUP(G35,Data,3,FALSE),""))</f>
        <v>SANTRI 3</v>
      </c>
      <c r="C35" s="117"/>
      <c r="D35" s="117"/>
      <c r="E35" s="117"/>
      <c r="G35" s="23">
        <v>3</v>
      </c>
      <c r="H35" s="24" t="s">
        <v>110</v>
      </c>
    </row>
    <row r="36" spans="2:8" ht="14.25" customHeight="1"/>
    <row r="37" spans="2:8" ht="19.5" customHeight="1">
      <c r="B37" s="120" t="str">
        <f>IF(ISBLANK(G35),"","Nomor Induk : "&amp;IFERROR(VLOOKUP(G35,Data,2,FALSE),""))</f>
        <v>Nomor Induk : 2347</v>
      </c>
      <c r="C37" s="117"/>
      <c r="D37" s="117"/>
      <c r="E37" s="117"/>
    </row>
    <row r="38" spans="2:8" ht="14.25" customHeight="1"/>
    <row r="39" spans="2:8" ht="14.25" customHeight="1"/>
    <row r="40" spans="2:8" ht="14.25" customHeight="1"/>
    <row r="41" spans="2:8" ht="14.25" customHeight="1"/>
    <row r="42" spans="2:8" ht="14.25" customHeight="1"/>
    <row r="43" spans="2:8" ht="14.25" customHeight="1"/>
    <row r="44" spans="2:8" ht="14.25" customHeight="1"/>
    <row r="45" spans="2:8" ht="14.25" customHeight="1"/>
    <row r="46" spans="2:8" ht="14.25" customHeight="1"/>
    <row r="47" spans="2:8" ht="14.25" customHeight="1"/>
    <row r="48" spans="2: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2">
    <mergeCell ref="D24:E24"/>
    <mergeCell ref="D25:E25"/>
    <mergeCell ref="B15:D15"/>
    <mergeCell ref="B16:E16"/>
    <mergeCell ref="D21:E21"/>
    <mergeCell ref="D22:E22"/>
    <mergeCell ref="D23:E23"/>
    <mergeCell ref="D26:E26"/>
    <mergeCell ref="D27:E27"/>
    <mergeCell ref="B33:E33"/>
    <mergeCell ref="B35:E35"/>
    <mergeCell ref="B37:E37"/>
  </mergeCells>
  <printOptions horizontalCentered="1"/>
  <pageMargins left="0.7874015748031496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impanPDFMasalSatuFile">
                <anchor>
                  <from>
                    <xdr:col>8</xdr:col>
                    <xdr:colOff>47625</xdr:colOff>
                    <xdr:row>31</xdr:row>
                    <xdr:rowOff>76200</xdr:rowOff>
                  </from>
                  <to>
                    <xdr:col>10</xdr:col>
                    <xdr:colOff>485775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etakRaportMasal">
                <anchor>
                  <from>
                    <xdr:col>8</xdr:col>
                    <xdr:colOff>47625</xdr:colOff>
                    <xdr:row>32</xdr:row>
                    <xdr:rowOff>276225</xdr:rowOff>
                  </from>
                  <to>
                    <xdr:col>10</xdr:col>
                    <xdr:colOff>495300</xdr:colOff>
                    <xdr:row>32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3"/>
  <dimension ref="A1:P1000"/>
  <sheetViews>
    <sheetView topLeftCell="A22" workbookViewId="0">
      <selection activeCell="K16" sqref="K16"/>
    </sheetView>
  </sheetViews>
  <sheetFormatPr defaultColWidth="14.42578125" defaultRowHeight="15" customHeight="1"/>
  <cols>
    <col min="1" max="1" width="3.28515625" customWidth="1"/>
    <col min="2" max="2" width="23.42578125" customWidth="1"/>
    <col min="3" max="3" width="2.140625" customWidth="1"/>
    <col min="4" max="4" width="8.7109375" customWidth="1"/>
    <col min="5" max="5" width="17.42578125" customWidth="1"/>
    <col min="6" max="7" width="8.7109375" customWidth="1"/>
    <col min="8" max="8" width="5.5703125" customWidth="1"/>
    <col min="9" max="9" width="3.7109375" customWidth="1"/>
    <col min="10" max="15" width="8.7109375" customWidth="1"/>
    <col min="16" max="16" width="8.7109375" hidden="1" customWidth="1"/>
    <col min="17" max="26" width="8.7109375" customWidth="1"/>
  </cols>
  <sheetData>
    <row r="1" spans="1:16" ht="14.25" customHeight="1">
      <c r="A1" s="9"/>
    </row>
    <row r="2" spans="1:16" ht="14.25" customHeight="1">
      <c r="A2" s="9"/>
    </row>
    <row r="3" spans="1:16" ht="21">
      <c r="A3" s="126" t="s">
        <v>111</v>
      </c>
      <c r="B3" s="117"/>
      <c r="C3" s="117"/>
      <c r="D3" s="117"/>
      <c r="E3" s="117"/>
      <c r="F3" s="117"/>
      <c r="G3" s="117"/>
      <c r="H3" s="117"/>
      <c r="I3" s="117"/>
    </row>
    <row r="4" spans="1:16" ht="14.25" customHeight="1">
      <c r="A4" s="25"/>
      <c r="B4" s="25"/>
      <c r="C4" s="25"/>
      <c r="D4" s="25"/>
      <c r="E4" s="25"/>
      <c r="F4" s="25"/>
      <c r="G4" s="25"/>
      <c r="H4" s="25"/>
      <c r="I4" s="25"/>
    </row>
    <row r="5" spans="1:16" ht="14.25" customHeight="1">
      <c r="A5" s="9"/>
      <c r="K5" s="4"/>
    </row>
    <row r="6" spans="1:16" ht="14.25" customHeight="1">
      <c r="A6" s="9"/>
      <c r="K6" s="4"/>
    </row>
    <row r="7" spans="1:16" ht="14.25" customHeight="1">
      <c r="A7" s="26" t="s">
        <v>112</v>
      </c>
      <c r="B7" s="27" t="s">
        <v>113</v>
      </c>
      <c r="C7" s="28" t="s">
        <v>108</v>
      </c>
      <c r="D7" s="27" t="str">
        <f>IF(ISBLANK(K9),"",IFERROR(VLOOKUP(K9,Data,3,FALSE),""))</f>
        <v>SANTRI 4</v>
      </c>
      <c r="J7" s="95"/>
      <c r="K7" s="4"/>
    </row>
    <row r="8" spans="1:16" ht="14.25" customHeight="1">
      <c r="A8" s="26" t="s">
        <v>114</v>
      </c>
      <c r="B8" s="27" t="s">
        <v>115</v>
      </c>
      <c r="C8" s="28" t="s">
        <v>108</v>
      </c>
      <c r="D8" s="29">
        <f>IF(ISBLANK(K9),"",IFERROR(VLOOKUP(K9,Data,2,FALSE),""))</f>
        <v>2348</v>
      </c>
      <c r="K8" s="4"/>
    </row>
    <row r="9" spans="1:16" ht="14.25" customHeight="1">
      <c r="A9" s="26" t="s">
        <v>116</v>
      </c>
      <c r="B9" s="27" t="s">
        <v>117</v>
      </c>
      <c r="C9" s="28" t="s">
        <v>108</v>
      </c>
      <c r="D9" s="27" t="str">
        <f>IF(ISBLANK(K9),"",IFERROR(VLOOKUP(K9,Data,4,FALSE),""))</f>
        <v>Tegal, 23 Mei 2015</v>
      </c>
      <c r="K9" s="127">
        <v>4</v>
      </c>
    </row>
    <row r="10" spans="1:16" ht="14.25" customHeight="1">
      <c r="A10" s="26" t="s">
        <v>118</v>
      </c>
      <c r="B10" s="27" t="s">
        <v>119</v>
      </c>
      <c r="C10" s="28" t="s">
        <v>108</v>
      </c>
      <c r="D10" s="27" t="str">
        <f>IF(OR(P10="",P10=0),"",IF(P10="L","Laki-laki","Perempuan"))</f>
        <v>Laki-laki</v>
      </c>
      <c r="K10" s="128"/>
      <c r="L10" s="24" t="s">
        <v>110</v>
      </c>
      <c r="P10" s="7" t="str">
        <f>IF(ISBLANK(K9),"",IFERROR(VLOOKUP(K9,Data,5,FALSE),""))</f>
        <v>L</v>
      </c>
    </row>
    <row r="11" spans="1:16" ht="14.25" customHeight="1">
      <c r="A11" s="26" t="s">
        <v>120</v>
      </c>
      <c r="B11" s="27" t="s">
        <v>121</v>
      </c>
      <c r="C11" s="28" t="s">
        <v>108</v>
      </c>
      <c r="D11" s="29" t="str">
        <f>IF(ISBLANK(K9),"",IFERROR(VLOOKUP(K9,Data,6,FALSE),""))</f>
        <v>TPQ Al Hamid</v>
      </c>
      <c r="K11" s="129"/>
    </row>
    <row r="12" spans="1:16" ht="14.25" customHeight="1">
      <c r="A12" s="26" t="s">
        <v>122</v>
      </c>
      <c r="B12" s="27" t="s">
        <v>123</v>
      </c>
      <c r="C12" s="28" t="s">
        <v>108</v>
      </c>
      <c r="D12" s="27" t="s">
        <v>124</v>
      </c>
      <c r="E12" s="22" t="str">
        <f>IF(ISBLANK(K9),"",IFERROR(VLOOKUP(K9,Data,7,FALSE),""))</f>
        <v>14 April 2025</v>
      </c>
      <c r="F12" s="22" t="s">
        <v>125</v>
      </c>
      <c r="G12" s="22" t="str">
        <f>IF(ISBLANK(K9),"",IFERROR(VLOOKUP(K9,Data,8,FALSE),""))</f>
        <v>1 (Satu)</v>
      </c>
    </row>
    <row r="13" spans="1:16" ht="14.25" customHeight="1">
      <c r="A13" s="26" t="s">
        <v>126</v>
      </c>
      <c r="B13" s="27" t="s">
        <v>127</v>
      </c>
      <c r="C13" s="28" t="s">
        <v>108</v>
      </c>
      <c r="D13" s="27" t="str">
        <f>IF(ISBLANK(K9),"",IFERROR(VLOOKUP(K9,Data,9,FALSE),""))</f>
        <v>Islam</v>
      </c>
    </row>
    <row r="14" spans="1:16" ht="14.25" customHeight="1">
      <c r="A14" s="26" t="s">
        <v>128</v>
      </c>
      <c r="B14" s="27" t="s">
        <v>129</v>
      </c>
      <c r="C14" s="28" t="s">
        <v>108</v>
      </c>
      <c r="D14" s="27" t="str">
        <f>IF(ISBLANK(K9),"",IFERROR(VLOOKUP(K9,Data,10,FALSE),""))</f>
        <v>Dukuhturi</v>
      </c>
    </row>
    <row r="15" spans="1:16" ht="14.25" customHeight="1">
      <c r="A15" s="26" t="s">
        <v>130</v>
      </c>
      <c r="B15" s="27" t="s">
        <v>131</v>
      </c>
      <c r="C15" s="27"/>
      <c r="D15" s="27"/>
    </row>
    <row r="16" spans="1:16" ht="14.25" customHeight="1">
      <c r="A16" s="26"/>
      <c r="B16" s="27" t="s">
        <v>132</v>
      </c>
      <c r="C16" s="28" t="s">
        <v>108</v>
      </c>
      <c r="D16" s="27" t="str">
        <f>IF(ISBLANK(K9),"",IFERROR(VLOOKUP(K9,Data,11,FALSE),""))</f>
        <v>Jalil</v>
      </c>
    </row>
    <row r="17" spans="1:6" ht="14.25" customHeight="1">
      <c r="A17" s="26"/>
      <c r="B17" s="27" t="s">
        <v>133</v>
      </c>
      <c r="C17" s="28" t="s">
        <v>108</v>
      </c>
      <c r="D17" s="27" t="str">
        <f>IF(ISBLANK(K9),"",IFERROR(VLOOKUP(K9,Data,12,FALSE),""))</f>
        <v>Riyanti</v>
      </c>
    </row>
    <row r="18" spans="1:6" ht="14.25" customHeight="1">
      <c r="A18" s="26" t="s">
        <v>134</v>
      </c>
      <c r="B18" s="27" t="s">
        <v>135</v>
      </c>
      <c r="C18" s="27"/>
      <c r="D18" s="27"/>
    </row>
    <row r="19" spans="1:6" ht="14.25" customHeight="1">
      <c r="A19" s="26"/>
      <c r="B19" s="27" t="s">
        <v>132</v>
      </c>
      <c r="C19" s="28" t="s">
        <v>108</v>
      </c>
      <c r="D19" s="27" t="str">
        <f>IF(ISBLANK(K9),"",IFERROR(VLOOKUP(K9,Data,13,FALSE),""))</f>
        <v>Pedagang</v>
      </c>
    </row>
    <row r="20" spans="1:6" ht="14.25" customHeight="1">
      <c r="A20" s="26"/>
      <c r="B20" s="27" t="s">
        <v>133</v>
      </c>
      <c r="C20" s="28" t="s">
        <v>108</v>
      </c>
      <c r="D20" s="27" t="str">
        <f>IF(ISBLANK(K9),"",IFERROR(VLOOKUP(K9,Data,14,FALSE),""))</f>
        <v>Buruh</v>
      </c>
    </row>
    <row r="21" spans="1:6" ht="14.25" customHeight="1">
      <c r="A21" s="26" t="s">
        <v>136</v>
      </c>
      <c r="B21" s="27" t="s">
        <v>137</v>
      </c>
      <c r="C21" s="27"/>
      <c r="D21" s="27"/>
    </row>
    <row r="22" spans="1:6" ht="14.25" customHeight="1">
      <c r="A22" s="26"/>
      <c r="B22" s="27" t="s">
        <v>138</v>
      </c>
      <c r="C22" s="28" t="s">
        <v>108</v>
      </c>
      <c r="D22" s="27" t="str">
        <f>IF(ISBLANK(K9),"",IFERROR(VLOOKUP(K9,Data,15,FALSE),""))</f>
        <v>RT 5 RW 4</v>
      </c>
    </row>
    <row r="23" spans="1:6" ht="14.25" customHeight="1">
      <c r="A23" s="26"/>
      <c r="B23" s="27" t="s">
        <v>139</v>
      </c>
      <c r="C23" s="28" t="s">
        <v>108</v>
      </c>
      <c r="D23" s="27" t="str">
        <f>IF(ISBLANK(K9),"",IFERROR(VLOOKUP(K9,Data,16,FALSE),""))</f>
        <v>Kalinyamat Wetan</v>
      </c>
    </row>
    <row r="24" spans="1:6" ht="14.25" customHeight="1">
      <c r="A24" s="26"/>
      <c r="B24" s="26" t="s">
        <v>140</v>
      </c>
      <c r="C24" s="28" t="s">
        <v>108</v>
      </c>
      <c r="D24" s="27" t="str">
        <f>IF(ISBLANK(K9),"",IFERROR(VLOOKUP(K9,Data,17,FALSE),""))</f>
        <v>Tegal Selatan</v>
      </c>
    </row>
    <row r="25" spans="1:6" ht="14.25" customHeight="1">
      <c r="A25" s="26"/>
      <c r="B25" s="27" t="s">
        <v>141</v>
      </c>
      <c r="C25" s="28" t="s">
        <v>108</v>
      </c>
      <c r="D25" s="27" t="str">
        <f>IF(ISBLANK(K9),"",IFERROR(VLOOKUP(K9,Data,18,FALSE),""))</f>
        <v>Kota Tegal</v>
      </c>
    </row>
    <row r="26" spans="1:6" ht="14.25" customHeight="1">
      <c r="A26" s="26" t="s">
        <v>142</v>
      </c>
      <c r="B26" s="27" t="s">
        <v>143</v>
      </c>
      <c r="C26" s="27"/>
      <c r="D26" s="27"/>
    </row>
    <row r="27" spans="1:6" ht="14.25" customHeight="1">
      <c r="A27" s="26"/>
      <c r="B27" s="27" t="s">
        <v>144</v>
      </c>
      <c r="C27" s="28" t="s">
        <v>108</v>
      </c>
      <c r="D27" s="27" t="str">
        <f>IF(ISBLANK(K9),"",IFERROR(VLOOKUP(K9,Data,19,FALSE),""))</f>
        <v>-</v>
      </c>
    </row>
    <row r="28" spans="1:6" ht="14.25" customHeight="1">
      <c r="A28" s="26"/>
      <c r="B28" s="27" t="s">
        <v>145</v>
      </c>
      <c r="C28" s="28" t="s">
        <v>108</v>
      </c>
      <c r="D28" s="22" t="str">
        <f>IF(ISBLANK(K9),"",IFERROR(VLOOKUP(K9,Data,20,FALSE),""))</f>
        <v>-</v>
      </c>
    </row>
    <row r="29" spans="1:6" ht="14.25" customHeight="1">
      <c r="A29" s="26"/>
      <c r="B29" s="27" t="s">
        <v>146</v>
      </c>
      <c r="C29" s="28" t="s">
        <v>108</v>
      </c>
      <c r="D29" s="22" t="str">
        <f>IF(ISBLANK(K9),"",IFERROR(VLOOKUP(K9,Data,21,FALSE),""))</f>
        <v>-</v>
      </c>
    </row>
    <row r="30" spans="1:6" ht="14.25" customHeight="1">
      <c r="A30" s="9"/>
    </row>
    <row r="31" spans="1:6" ht="14.25" customHeight="1">
      <c r="A31" s="9"/>
    </row>
    <row r="32" spans="1:6" ht="14.25" customHeight="1">
      <c r="A32" s="9"/>
      <c r="F32" s="27" t="str">
        <f>IDENTITAS!C18</f>
        <v>Tegal, 14 April 2025</v>
      </c>
    </row>
    <row r="33" spans="1:6" ht="14.25" customHeight="1">
      <c r="A33" s="9"/>
      <c r="F33" s="27"/>
    </row>
    <row r="34" spans="1:6" ht="14.25" customHeight="1">
      <c r="A34" s="9"/>
      <c r="F34" s="27" t="s">
        <v>147</v>
      </c>
    </row>
    <row r="35" spans="1:6" ht="14.25" customHeight="1">
      <c r="A35" s="9"/>
      <c r="F35" s="27"/>
    </row>
    <row r="36" spans="1:6" ht="14.25" customHeight="1">
      <c r="A36" s="9"/>
      <c r="F36" s="27"/>
    </row>
    <row r="37" spans="1:6" ht="14.25" customHeight="1">
      <c r="A37" s="9"/>
      <c r="F37" s="27"/>
    </row>
    <row r="38" spans="1:6" ht="14.25" customHeight="1">
      <c r="A38" s="9"/>
      <c r="F38" s="30" t="str">
        <f>IDENTITAS!C16</f>
        <v>NURKHOLIS, S.Pd.I</v>
      </c>
    </row>
    <row r="39" spans="1:6" ht="14.25" customHeight="1">
      <c r="A39" s="9"/>
    </row>
    <row r="40" spans="1:6" ht="14.25" customHeight="1">
      <c r="A40" s="9"/>
    </row>
    <row r="41" spans="1:6" ht="14.25" customHeight="1">
      <c r="A41" s="9"/>
    </row>
    <row r="42" spans="1:6" ht="14.25" customHeight="1">
      <c r="A42" s="9"/>
    </row>
    <row r="43" spans="1:6" ht="14.25" customHeight="1">
      <c r="A43" s="9"/>
    </row>
    <row r="44" spans="1:6" ht="14.25" customHeight="1">
      <c r="A44" s="9"/>
    </row>
    <row r="45" spans="1:6" ht="14.25" customHeight="1">
      <c r="A45" s="9"/>
    </row>
    <row r="46" spans="1:6" ht="14.25" customHeight="1">
      <c r="A46" s="9"/>
    </row>
    <row r="47" spans="1:6" ht="14.25" customHeight="1">
      <c r="A47" s="9"/>
    </row>
    <row r="48" spans="1:6" ht="14.25" customHeight="1">
      <c r="A48" s="9"/>
    </row>
    <row r="49" spans="1:1" ht="14.25" customHeight="1">
      <c r="A49" s="9"/>
    </row>
    <row r="50" spans="1:1" ht="14.25" customHeight="1">
      <c r="A50" s="9"/>
    </row>
    <row r="51" spans="1:1" ht="14.25" customHeight="1">
      <c r="A51" s="9"/>
    </row>
    <row r="52" spans="1:1" ht="14.25" customHeight="1">
      <c r="A52" s="9"/>
    </row>
    <row r="53" spans="1:1" ht="14.25" customHeight="1">
      <c r="A53" s="9"/>
    </row>
    <row r="54" spans="1:1" ht="14.25" customHeight="1">
      <c r="A54" s="9"/>
    </row>
    <row r="55" spans="1:1" ht="14.25" customHeight="1">
      <c r="A55" s="9"/>
    </row>
    <row r="56" spans="1:1" ht="14.25" customHeight="1">
      <c r="A56" s="9"/>
    </row>
    <row r="57" spans="1:1" ht="14.25" customHeight="1">
      <c r="A57" s="9"/>
    </row>
    <row r="58" spans="1:1" ht="14.25" customHeight="1">
      <c r="A58" s="9"/>
    </row>
    <row r="59" spans="1:1" ht="14.25" customHeight="1">
      <c r="A59" s="9"/>
    </row>
    <row r="60" spans="1:1" ht="14.25" customHeight="1">
      <c r="A60" s="9"/>
    </row>
    <row r="61" spans="1:1" ht="14.25" customHeight="1">
      <c r="A61" s="9"/>
    </row>
    <row r="62" spans="1:1" ht="14.25" customHeight="1">
      <c r="A62" s="9"/>
    </row>
    <row r="63" spans="1:1" ht="14.25" customHeight="1">
      <c r="A63" s="9"/>
    </row>
    <row r="64" spans="1:1" ht="14.25" customHeight="1">
      <c r="A64" s="9"/>
    </row>
    <row r="65" spans="1:1" ht="14.25" customHeight="1">
      <c r="A65" s="9"/>
    </row>
    <row r="66" spans="1:1" ht="14.25" customHeight="1">
      <c r="A66" s="9"/>
    </row>
    <row r="67" spans="1:1" ht="14.25" customHeight="1">
      <c r="A67" s="9"/>
    </row>
    <row r="68" spans="1:1" ht="14.25" customHeight="1">
      <c r="A68" s="9"/>
    </row>
    <row r="69" spans="1:1" ht="14.25" customHeight="1">
      <c r="A69" s="9"/>
    </row>
    <row r="70" spans="1:1" ht="14.25" customHeight="1">
      <c r="A70" s="9"/>
    </row>
    <row r="71" spans="1:1" ht="14.25" customHeight="1">
      <c r="A71" s="9"/>
    </row>
    <row r="72" spans="1:1" ht="14.25" customHeight="1">
      <c r="A72" s="9"/>
    </row>
    <row r="73" spans="1:1" ht="14.25" customHeight="1">
      <c r="A73" s="9"/>
    </row>
    <row r="74" spans="1:1" ht="14.25" customHeight="1">
      <c r="A74" s="9"/>
    </row>
    <row r="75" spans="1:1" ht="14.25" customHeight="1">
      <c r="A75" s="9"/>
    </row>
    <row r="76" spans="1:1" ht="14.25" customHeight="1">
      <c r="A76" s="9"/>
    </row>
    <row r="77" spans="1:1" ht="14.25" customHeight="1">
      <c r="A77" s="9"/>
    </row>
    <row r="78" spans="1:1" ht="14.25" customHeight="1">
      <c r="A78" s="9"/>
    </row>
    <row r="79" spans="1:1" ht="14.25" customHeight="1">
      <c r="A79" s="9"/>
    </row>
    <row r="80" spans="1:1" ht="14.25" customHeight="1">
      <c r="A80" s="9"/>
    </row>
    <row r="81" spans="1:1" ht="14.25" customHeight="1">
      <c r="A81" s="9"/>
    </row>
    <row r="82" spans="1:1" ht="14.25" customHeight="1">
      <c r="A82" s="9"/>
    </row>
    <row r="83" spans="1:1" ht="14.25" customHeight="1">
      <c r="A83" s="9"/>
    </row>
    <row r="84" spans="1:1" ht="14.25" customHeight="1">
      <c r="A84" s="9"/>
    </row>
    <row r="85" spans="1:1" ht="14.25" customHeight="1">
      <c r="A85" s="9"/>
    </row>
    <row r="86" spans="1:1" ht="14.25" customHeight="1">
      <c r="A86" s="9"/>
    </row>
    <row r="87" spans="1:1" ht="14.25" customHeight="1">
      <c r="A87" s="9"/>
    </row>
    <row r="88" spans="1:1" ht="14.25" customHeight="1">
      <c r="A88" s="9"/>
    </row>
    <row r="89" spans="1:1" ht="14.25" customHeight="1">
      <c r="A89" s="9"/>
    </row>
    <row r="90" spans="1:1" ht="14.25" customHeight="1">
      <c r="A90" s="9"/>
    </row>
    <row r="91" spans="1:1" ht="14.25" customHeight="1">
      <c r="A91" s="9"/>
    </row>
    <row r="92" spans="1:1" ht="14.25" customHeight="1">
      <c r="A92" s="9"/>
    </row>
    <row r="93" spans="1:1" ht="14.25" customHeight="1">
      <c r="A93" s="9"/>
    </row>
    <row r="94" spans="1:1" ht="14.25" customHeight="1">
      <c r="A94" s="9"/>
    </row>
    <row r="95" spans="1:1" ht="14.25" customHeight="1">
      <c r="A95" s="9"/>
    </row>
    <row r="96" spans="1:1" ht="14.25" customHeight="1">
      <c r="A96" s="9"/>
    </row>
    <row r="97" spans="1:1" ht="14.25" customHeight="1">
      <c r="A97" s="9"/>
    </row>
    <row r="98" spans="1:1" ht="14.25" customHeight="1">
      <c r="A98" s="9"/>
    </row>
    <row r="99" spans="1:1" ht="14.25" customHeight="1">
      <c r="A99" s="9"/>
    </row>
    <row r="100" spans="1:1" ht="14.25" customHeight="1">
      <c r="A100" s="9"/>
    </row>
    <row r="101" spans="1:1" ht="14.25" customHeight="1">
      <c r="A101" s="9"/>
    </row>
    <row r="102" spans="1:1" ht="14.25" customHeight="1">
      <c r="A102" s="9"/>
    </row>
    <row r="103" spans="1:1" ht="14.25" customHeight="1">
      <c r="A103" s="9"/>
    </row>
    <row r="104" spans="1:1" ht="14.25" customHeight="1">
      <c r="A104" s="9"/>
    </row>
    <row r="105" spans="1:1" ht="14.25" customHeight="1">
      <c r="A105" s="9"/>
    </row>
    <row r="106" spans="1:1" ht="14.25" customHeight="1">
      <c r="A106" s="9"/>
    </row>
    <row r="107" spans="1:1" ht="14.25" customHeight="1">
      <c r="A107" s="9"/>
    </row>
    <row r="108" spans="1:1" ht="14.25" customHeight="1">
      <c r="A108" s="9"/>
    </row>
    <row r="109" spans="1:1" ht="14.25" customHeight="1">
      <c r="A109" s="9"/>
    </row>
    <row r="110" spans="1:1" ht="14.25" customHeight="1">
      <c r="A110" s="9"/>
    </row>
    <row r="111" spans="1:1" ht="14.25" customHeight="1">
      <c r="A111" s="9"/>
    </row>
    <row r="112" spans="1:1" ht="14.25" customHeight="1">
      <c r="A112" s="9"/>
    </row>
    <row r="113" spans="1:1" ht="14.25" customHeight="1">
      <c r="A113" s="9"/>
    </row>
    <row r="114" spans="1:1" ht="14.25" customHeight="1">
      <c r="A114" s="9"/>
    </row>
    <row r="115" spans="1:1" ht="14.25" customHeight="1">
      <c r="A115" s="9"/>
    </row>
    <row r="116" spans="1:1" ht="14.25" customHeight="1">
      <c r="A116" s="9"/>
    </row>
    <row r="117" spans="1:1" ht="14.25" customHeight="1">
      <c r="A117" s="9"/>
    </row>
    <row r="118" spans="1:1" ht="14.25" customHeight="1">
      <c r="A118" s="9"/>
    </row>
    <row r="119" spans="1:1" ht="14.25" customHeight="1">
      <c r="A119" s="9"/>
    </row>
    <row r="120" spans="1:1" ht="14.25" customHeight="1">
      <c r="A120" s="9"/>
    </row>
    <row r="121" spans="1:1" ht="14.25" customHeight="1">
      <c r="A121" s="9"/>
    </row>
    <row r="122" spans="1:1" ht="14.25" customHeight="1">
      <c r="A122" s="9"/>
    </row>
    <row r="123" spans="1:1" ht="14.25" customHeight="1">
      <c r="A123" s="9"/>
    </row>
    <row r="124" spans="1:1" ht="14.25" customHeight="1">
      <c r="A124" s="9"/>
    </row>
    <row r="125" spans="1:1" ht="14.25" customHeight="1">
      <c r="A125" s="9"/>
    </row>
    <row r="126" spans="1:1" ht="14.25" customHeight="1">
      <c r="A126" s="9"/>
    </row>
    <row r="127" spans="1:1" ht="14.25" customHeight="1">
      <c r="A127" s="9"/>
    </row>
    <row r="128" spans="1:1" ht="14.25" customHeight="1">
      <c r="A128" s="9"/>
    </row>
    <row r="129" spans="1:1" ht="14.25" customHeight="1">
      <c r="A129" s="9"/>
    </row>
    <row r="130" spans="1:1" ht="14.25" customHeight="1">
      <c r="A130" s="9"/>
    </row>
    <row r="131" spans="1:1" ht="14.25" customHeight="1">
      <c r="A131" s="9"/>
    </row>
    <row r="132" spans="1:1" ht="14.25" customHeight="1">
      <c r="A132" s="9"/>
    </row>
    <row r="133" spans="1:1" ht="14.25" customHeight="1">
      <c r="A133" s="9"/>
    </row>
    <row r="134" spans="1:1" ht="14.25" customHeight="1">
      <c r="A134" s="9"/>
    </row>
    <row r="135" spans="1:1" ht="14.25" customHeight="1">
      <c r="A135" s="9"/>
    </row>
    <row r="136" spans="1:1" ht="14.25" customHeight="1">
      <c r="A136" s="9"/>
    </row>
    <row r="137" spans="1:1" ht="14.25" customHeight="1">
      <c r="A137" s="9"/>
    </row>
    <row r="138" spans="1:1" ht="14.25" customHeight="1">
      <c r="A138" s="9"/>
    </row>
    <row r="139" spans="1:1" ht="14.25" customHeight="1">
      <c r="A139" s="9"/>
    </row>
    <row r="140" spans="1:1" ht="14.25" customHeight="1">
      <c r="A140" s="9"/>
    </row>
    <row r="141" spans="1:1" ht="14.25" customHeight="1">
      <c r="A141" s="9"/>
    </row>
    <row r="142" spans="1:1" ht="14.25" customHeight="1">
      <c r="A142" s="9"/>
    </row>
    <row r="143" spans="1:1" ht="14.25" customHeight="1">
      <c r="A143" s="9"/>
    </row>
    <row r="144" spans="1:1" ht="14.25" customHeight="1">
      <c r="A144" s="9"/>
    </row>
    <row r="145" spans="1:1" ht="14.25" customHeight="1">
      <c r="A145" s="9"/>
    </row>
    <row r="146" spans="1:1" ht="14.25" customHeight="1">
      <c r="A146" s="9"/>
    </row>
    <row r="147" spans="1:1" ht="14.25" customHeight="1">
      <c r="A147" s="9"/>
    </row>
    <row r="148" spans="1:1" ht="14.25" customHeight="1">
      <c r="A148" s="9"/>
    </row>
    <row r="149" spans="1:1" ht="14.25" customHeight="1">
      <c r="A149" s="9"/>
    </row>
    <row r="150" spans="1:1" ht="14.25" customHeight="1">
      <c r="A150" s="9"/>
    </row>
    <row r="151" spans="1:1" ht="14.25" customHeight="1">
      <c r="A151" s="9"/>
    </row>
    <row r="152" spans="1:1" ht="14.25" customHeight="1">
      <c r="A152" s="9"/>
    </row>
    <row r="153" spans="1:1" ht="14.25" customHeight="1">
      <c r="A153" s="9"/>
    </row>
    <row r="154" spans="1:1" ht="14.25" customHeight="1">
      <c r="A154" s="9"/>
    </row>
    <row r="155" spans="1:1" ht="14.25" customHeight="1">
      <c r="A155" s="9"/>
    </row>
    <row r="156" spans="1:1" ht="14.25" customHeight="1">
      <c r="A156" s="9"/>
    </row>
    <row r="157" spans="1:1" ht="14.25" customHeight="1">
      <c r="A157" s="9"/>
    </row>
    <row r="158" spans="1:1" ht="14.25" customHeight="1">
      <c r="A158" s="9"/>
    </row>
    <row r="159" spans="1:1" ht="14.25" customHeight="1">
      <c r="A159" s="9"/>
    </row>
    <row r="160" spans="1:1" ht="14.25" customHeight="1">
      <c r="A160" s="9"/>
    </row>
    <row r="161" spans="1:1" ht="14.25" customHeight="1">
      <c r="A161" s="9"/>
    </row>
    <row r="162" spans="1:1" ht="14.25" customHeight="1">
      <c r="A162" s="9"/>
    </row>
    <row r="163" spans="1:1" ht="14.25" customHeight="1">
      <c r="A163" s="9"/>
    </row>
    <row r="164" spans="1:1" ht="14.25" customHeight="1">
      <c r="A164" s="9"/>
    </row>
    <row r="165" spans="1:1" ht="14.25" customHeight="1">
      <c r="A165" s="9"/>
    </row>
    <row r="166" spans="1:1" ht="14.25" customHeight="1">
      <c r="A166" s="9"/>
    </row>
    <row r="167" spans="1:1" ht="14.25" customHeight="1">
      <c r="A167" s="9"/>
    </row>
    <row r="168" spans="1:1" ht="14.25" customHeight="1">
      <c r="A168" s="9"/>
    </row>
    <row r="169" spans="1:1" ht="14.25" customHeight="1">
      <c r="A169" s="9"/>
    </row>
    <row r="170" spans="1:1" ht="14.25" customHeight="1">
      <c r="A170" s="9"/>
    </row>
    <row r="171" spans="1:1" ht="14.25" customHeight="1">
      <c r="A171" s="9"/>
    </row>
    <row r="172" spans="1:1" ht="14.25" customHeight="1">
      <c r="A172" s="9"/>
    </row>
    <row r="173" spans="1:1" ht="14.25" customHeight="1">
      <c r="A173" s="9"/>
    </row>
    <row r="174" spans="1:1" ht="14.25" customHeight="1">
      <c r="A174" s="9"/>
    </row>
    <row r="175" spans="1:1" ht="14.25" customHeight="1">
      <c r="A175" s="9"/>
    </row>
    <row r="176" spans="1:1" ht="14.25" customHeight="1">
      <c r="A176" s="9"/>
    </row>
    <row r="177" spans="1:1" ht="14.25" customHeight="1">
      <c r="A177" s="9"/>
    </row>
    <row r="178" spans="1:1" ht="14.25" customHeight="1">
      <c r="A178" s="9"/>
    </row>
    <row r="179" spans="1:1" ht="14.25" customHeight="1">
      <c r="A179" s="9"/>
    </row>
    <row r="180" spans="1:1" ht="14.25" customHeight="1">
      <c r="A180" s="9"/>
    </row>
    <row r="181" spans="1:1" ht="14.25" customHeight="1">
      <c r="A181" s="9"/>
    </row>
    <row r="182" spans="1:1" ht="14.25" customHeight="1">
      <c r="A182" s="9"/>
    </row>
    <row r="183" spans="1:1" ht="14.25" customHeight="1">
      <c r="A183" s="9"/>
    </row>
    <row r="184" spans="1:1" ht="14.25" customHeight="1">
      <c r="A184" s="9"/>
    </row>
    <row r="185" spans="1:1" ht="14.25" customHeight="1">
      <c r="A185" s="9"/>
    </row>
    <row r="186" spans="1:1" ht="14.25" customHeight="1">
      <c r="A186" s="9"/>
    </row>
    <row r="187" spans="1:1" ht="14.25" customHeight="1">
      <c r="A187" s="9"/>
    </row>
    <row r="188" spans="1:1" ht="14.25" customHeight="1">
      <c r="A188" s="9"/>
    </row>
    <row r="189" spans="1:1" ht="14.25" customHeight="1">
      <c r="A189" s="9"/>
    </row>
    <row r="190" spans="1:1" ht="14.25" customHeight="1">
      <c r="A190" s="9"/>
    </row>
    <row r="191" spans="1:1" ht="14.25" customHeight="1">
      <c r="A191" s="9"/>
    </row>
    <row r="192" spans="1:1" ht="14.25" customHeight="1">
      <c r="A192" s="9"/>
    </row>
    <row r="193" spans="1:1" ht="14.25" customHeight="1">
      <c r="A193" s="9"/>
    </row>
    <row r="194" spans="1:1" ht="14.25" customHeight="1">
      <c r="A194" s="9"/>
    </row>
    <row r="195" spans="1:1" ht="14.25" customHeight="1">
      <c r="A195" s="9"/>
    </row>
    <row r="196" spans="1:1" ht="14.25" customHeight="1">
      <c r="A196" s="9"/>
    </row>
    <row r="197" spans="1:1" ht="14.25" customHeight="1">
      <c r="A197" s="9"/>
    </row>
    <row r="198" spans="1:1" ht="14.25" customHeight="1">
      <c r="A198" s="9"/>
    </row>
    <row r="199" spans="1:1" ht="14.25" customHeight="1">
      <c r="A199" s="9"/>
    </row>
    <row r="200" spans="1:1" ht="14.25" customHeight="1">
      <c r="A200" s="9"/>
    </row>
    <row r="201" spans="1:1" ht="14.25" customHeight="1">
      <c r="A201" s="9"/>
    </row>
    <row r="202" spans="1:1" ht="14.25" customHeight="1">
      <c r="A202" s="9"/>
    </row>
    <row r="203" spans="1:1" ht="14.25" customHeight="1">
      <c r="A203" s="9"/>
    </row>
    <row r="204" spans="1:1" ht="14.25" customHeight="1">
      <c r="A204" s="9"/>
    </row>
    <row r="205" spans="1:1" ht="14.25" customHeight="1">
      <c r="A205" s="9"/>
    </row>
    <row r="206" spans="1:1" ht="14.25" customHeight="1">
      <c r="A206" s="9"/>
    </row>
    <row r="207" spans="1:1" ht="14.25" customHeight="1">
      <c r="A207" s="9"/>
    </row>
    <row r="208" spans="1:1" ht="14.25" customHeight="1">
      <c r="A208" s="9"/>
    </row>
    <row r="209" spans="1:1" ht="14.25" customHeight="1">
      <c r="A209" s="9"/>
    </row>
    <row r="210" spans="1:1" ht="14.25" customHeight="1">
      <c r="A210" s="9"/>
    </row>
    <row r="211" spans="1:1" ht="14.25" customHeight="1">
      <c r="A211" s="9"/>
    </row>
    <row r="212" spans="1:1" ht="14.25" customHeight="1">
      <c r="A212" s="9"/>
    </row>
    <row r="213" spans="1:1" ht="14.25" customHeight="1">
      <c r="A213" s="9"/>
    </row>
    <row r="214" spans="1:1" ht="14.25" customHeight="1">
      <c r="A214" s="9"/>
    </row>
    <row r="215" spans="1:1" ht="14.25" customHeight="1">
      <c r="A215" s="9"/>
    </row>
    <row r="216" spans="1:1" ht="14.25" customHeight="1">
      <c r="A216" s="9"/>
    </row>
    <row r="217" spans="1:1" ht="14.25" customHeight="1">
      <c r="A217" s="9"/>
    </row>
    <row r="218" spans="1:1" ht="14.25" customHeight="1">
      <c r="A218" s="9"/>
    </row>
    <row r="219" spans="1:1" ht="14.25" customHeight="1">
      <c r="A219" s="9"/>
    </row>
    <row r="220" spans="1:1" ht="14.25" customHeight="1">
      <c r="A220" s="9"/>
    </row>
    <row r="221" spans="1:1" ht="14.25" customHeight="1">
      <c r="A221" s="9"/>
    </row>
    <row r="222" spans="1:1" ht="14.25" customHeight="1">
      <c r="A222" s="9"/>
    </row>
    <row r="223" spans="1:1" ht="14.25" customHeight="1">
      <c r="A223" s="9"/>
    </row>
    <row r="224" spans="1:1" ht="14.25" customHeight="1">
      <c r="A224" s="9"/>
    </row>
    <row r="225" spans="1:1" ht="14.25" customHeight="1">
      <c r="A225" s="9"/>
    </row>
    <row r="226" spans="1:1" ht="14.25" customHeight="1">
      <c r="A226" s="9"/>
    </row>
    <row r="227" spans="1:1" ht="14.25" customHeight="1">
      <c r="A227" s="9"/>
    </row>
    <row r="228" spans="1:1" ht="14.25" customHeight="1">
      <c r="A228" s="9"/>
    </row>
    <row r="229" spans="1:1" ht="14.25" customHeight="1">
      <c r="A229" s="9"/>
    </row>
    <row r="230" spans="1:1" ht="14.25" customHeight="1">
      <c r="A230" s="9"/>
    </row>
    <row r="231" spans="1:1" ht="14.25" customHeight="1">
      <c r="A231" s="9"/>
    </row>
    <row r="232" spans="1:1" ht="14.25" customHeight="1">
      <c r="A232" s="9"/>
    </row>
    <row r="233" spans="1:1" ht="14.25" customHeight="1">
      <c r="A233" s="9"/>
    </row>
    <row r="234" spans="1:1" ht="14.25" customHeight="1">
      <c r="A234" s="9"/>
    </row>
    <row r="235" spans="1:1" ht="14.25" customHeight="1">
      <c r="A235" s="9"/>
    </row>
    <row r="236" spans="1:1" ht="14.25" customHeight="1">
      <c r="A236" s="9"/>
    </row>
    <row r="237" spans="1:1" ht="14.25" customHeight="1">
      <c r="A237" s="9"/>
    </row>
    <row r="238" spans="1:1" ht="14.25" customHeight="1">
      <c r="A238" s="9"/>
    </row>
    <row r="239" spans="1:1" ht="14.25" customHeight="1">
      <c r="A239" s="9"/>
    </row>
    <row r="240" spans="1:1" ht="14.25" customHeight="1">
      <c r="A240" s="9"/>
    </row>
    <row r="241" spans="1:1" ht="14.25" customHeight="1">
      <c r="A241" s="9"/>
    </row>
    <row r="242" spans="1:1" ht="14.25" customHeight="1">
      <c r="A242" s="9"/>
    </row>
    <row r="243" spans="1:1" ht="14.25" customHeight="1">
      <c r="A243" s="9"/>
    </row>
    <row r="244" spans="1:1" ht="14.25" customHeight="1">
      <c r="A244" s="9"/>
    </row>
    <row r="245" spans="1:1" ht="14.25" customHeight="1">
      <c r="A245" s="9"/>
    </row>
    <row r="246" spans="1:1" ht="14.25" customHeight="1">
      <c r="A246" s="9"/>
    </row>
    <row r="247" spans="1:1" ht="14.25" customHeight="1">
      <c r="A247" s="9"/>
    </row>
    <row r="248" spans="1:1" ht="14.25" customHeight="1">
      <c r="A248" s="9"/>
    </row>
    <row r="249" spans="1:1" ht="14.25" customHeight="1">
      <c r="A249" s="9"/>
    </row>
    <row r="250" spans="1:1" ht="14.25" customHeight="1">
      <c r="A250" s="9"/>
    </row>
    <row r="251" spans="1:1" ht="14.25" customHeight="1">
      <c r="A251" s="9"/>
    </row>
    <row r="252" spans="1:1" ht="14.25" customHeight="1">
      <c r="A252" s="9"/>
    </row>
    <row r="253" spans="1:1" ht="14.25" customHeight="1">
      <c r="A253" s="9"/>
    </row>
    <row r="254" spans="1:1" ht="14.25" customHeight="1">
      <c r="A254" s="9"/>
    </row>
    <row r="255" spans="1:1" ht="14.25" customHeight="1">
      <c r="A255" s="9"/>
    </row>
    <row r="256" spans="1:1" ht="14.25" customHeight="1">
      <c r="A256" s="9"/>
    </row>
    <row r="257" spans="1:1" ht="14.25" customHeight="1">
      <c r="A257" s="9"/>
    </row>
    <row r="258" spans="1:1" ht="14.25" customHeight="1">
      <c r="A258" s="9"/>
    </row>
    <row r="259" spans="1:1" ht="14.25" customHeight="1">
      <c r="A259" s="9"/>
    </row>
    <row r="260" spans="1:1" ht="14.25" customHeight="1">
      <c r="A260" s="9"/>
    </row>
    <row r="261" spans="1:1" ht="14.25" customHeight="1">
      <c r="A261" s="9"/>
    </row>
    <row r="262" spans="1:1" ht="14.25" customHeight="1">
      <c r="A262" s="9"/>
    </row>
    <row r="263" spans="1:1" ht="14.25" customHeight="1">
      <c r="A263" s="9"/>
    </row>
    <row r="264" spans="1:1" ht="14.25" customHeight="1">
      <c r="A264" s="9"/>
    </row>
    <row r="265" spans="1:1" ht="14.25" customHeight="1">
      <c r="A265" s="9"/>
    </row>
    <row r="266" spans="1:1" ht="14.25" customHeight="1">
      <c r="A266" s="9"/>
    </row>
    <row r="267" spans="1:1" ht="14.25" customHeight="1">
      <c r="A267" s="9"/>
    </row>
    <row r="268" spans="1:1" ht="14.25" customHeight="1">
      <c r="A268" s="9"/>
    </row>
    <row r="269" spans="1:1" ht="14.25" customHeight="1">
      <c r="A269" s="9"/>
    </row>
    <row r="270" spans="1:1" ht="14.25" customHeight="1">
      <c r="A270" s="9"/>
    </row>
    <row r="271" spans="1:1" ht="14.25" customHeight="1">
      <c r="A271" s="9"/>
    </row>
    <row r="272" spans="1:1" ht="14.25" customHeight="1">
      <c r="A272" s="9"/>
    </row>
    <row r="273" spans="1:1" ht="14.25" customHeight="1">
      <c r="A273" s="9"/>
    </row>
    <row r="274" spans="1:1" ht="14.25" customHeight="1">
      <c r="A274" s="9"/>
    </row>
    <row r="275" spans="1:1" ht="14.25" customHeight="1">
      <c r="A275" s="9"/>
    </row>
    <row r="276" spans="1:1" ht="14.25" customHeight="1">
      <c r="A276" s="9"/>
    </row>
    <row r="277" spans="1:1" ht="14.25" customHeight="1">
      <c r="A277" s="9"/>
    </row>
    <row r="278" spans="1:1" ht="14.25" customHeight="1">
      <c r="A278" s="9"/>
    </row>
    <row r="279" spans="1:1" ht="14.25" customHeight="1">
      <c r="A279" s="9"/>
    </row>
    <row r="280" spans="1:1" ht="14.25" customHeight="1">
      <c r="A280" s="9"/>
    </row>
    <row r="281" spans="1:1" ht="14.25" customHeight="1">
      <c r="A281" s="9"/>
    </row>
    <row r="282" spans="1:1" ht="14.25" customHeight="1">
      <c r="A282" s="9"/>
    </row>
    <row r="283" spans="1:1" ht="14.25" customHeight="1">
      <c r="A283" s="9"/>
    </row>
    <row r="284" spans="1:1" ht="14.25" customHeight="1">
      <c r="A284" s="9"/>
    </row>
    <row r="285" spans="1:1" ht="14.25" customHeight="1">
      <c r="A285" s="9"/>
    </row>
    <row r="286" spans="1:1" ht="14.25" customHeight="1">
      <c r="A286" s="9"/>
    </row>
    <row r="287" spans="1:1" ht="14.25" customHeight="1">
      <c r="A287" s="9"/>
    </row>
    <row r="288" spans="1:1" ht="14.25" customHeight="1">
      <c r="A288" s="9"/>
    </row>
    <row r="289" spans="1:1" ht="14.25" customHeight="1">
      <c r="A289" s="9"/>
    </row>
    <row r="290" spans="1:1" ht="14.25" customHeight="1">
      <c r="A290" s="9"/>
    </row>
    <row r="291" spans="1:1" ht="14.25" customHeight="1">
      <c r="A291" s="9"/>
    </row>
    <row r="292" spans="1:1" ht="14.25" customHeight="1">
      <c r="A292" s="9"/>
    </row>
    <row r="293" spans="1:1" ht="14.25" customHeight="1">
      <c r="A293" s="9"/>
    </row>
    <row r="294" spans="1:1" ht="14.25" customHeight="1">
      <c r="A294" s="9"/>
    </row>
    <row r="295" spans="1:1" ht="14.25" customHeight="1">
      <c r="A295" s="9"/>
    </row>
    <row r="296" spans="1:1" ht="14.25" customHeight="1">
      <c r="A296" s="9"/>
    </row>
    <row r="297" spans="1:1" ht="14.25" customHeight="1">
      <c r="A297" s="9"/>
    </row>
    <row r="298" spans="1:1" ht="14.25" customHeight="1">
      <c r="A298" s="9"/>
    </row>
    <row r="299" spans="1:1" ht="14.25" customHeight="1">
      <c r="A299" s="9"/>
    </row>
    <row r="300" spans="1:1" ht="14.25" customHeight="1">
      <c r="A300" s="9"/>
    </row>
    <row r="301" spans="1:1" ht="14.25" customHeight="1">
      <c r="A301" s="9"/>
    </row>
    <row r="302" spans="1:1" ht="14.25" customHeight="1">
      <c r="A302" s="9"/>
    </row>
    <row r="303" spans="1:1" ht="14.25" customHeight="1">
      <c r="A303" s="9"/>
    </row>
    <row r="304" spans="1:1" ht="14.25" customHeight="1">
      <c r="A304" s="9"/>
    </row>
    <row r="305" spans="1:1" ht="14.25" customHeight="1">
      <c r="A305" s="9"/>
    </row>
    <row r="306" spans="1:1" ht="14.25" customHeight="1">
      <c r="A306" s="9"/>
    </row>
    <row r="307" spans="1:1" ht="14.25" customHeight="1">
      <c r="A307" s="9"/>
    </row>
    <row r="308" spans="1:1" ht="14.25" customHeight="1">
      <c r="A308" s="9"/>
    </row>
    <row r="309" spans="1:1" ht="14.25" customHeight="1">
      <c r="A309" s="9"/>
    </row>
    <row r="310" spans="1:1" ht="14.25" customHeight="1">
      <c r="A310" s="9"/>
    </row>
    <row r="311" spans="1:1" ht="14.25" customHeight="1">
      <c r="A311" s="9"/>
    </row>
    <row r="312" spans="1:1" ht="14.25" customHeight="1">
      <c r="A312" s="9"/>
    </row>
    <row r="313" spans="1:1" ht="14.25" customHeight="1">
      <c r="A313" s="9"/>
    </row>
    <row r="314" spans="1:1" ht="14.25" customHeight="1">
      <c r="A314" s="9"/>
    </row>
    <row r="315" spans="1:1" ht="14.25" customHeight="1">
      <c r="A315" s="9"/>
    </row>
    <row r="316" spans="1:1" ht="14.25" customHeight="1">
      <c r="A316" s="9"/>
    </row>
    <row r="317" spans="1:1" ht="14.25" customHeight="1">
      <c r="A317" s="9"/>
    </row>
    <row r="318" spans="1:1" ht="14.25" customHeight="1">
      <c r="A318" s="9"/>
    </row>
    <row r="319" spans="1:1" ht="14.25" customHeight="1">
      <c r="A319" s="9"/>
    </row>
    <row r="320" spans="1:1" ht="14.25" customHeight="1">
      <c r="A320" s="9"/>
    </row>
    <row r="321" spans="1:1" ht="14.25" customHeight="1">
      <c r="A321" s="9"/>
    </row>
    <row r="322" spans="1:1" ht="14.25" customHeight="1">
      <c r="A322" s="9"/>
    </row>
    <row r="323" spans="1:1" ht="14.25" customHeight="1">
      <c r="A323" s="9"/>
    </row>
    <row r="324" spans="1:1" ht="14.25" customHeight="1">
      <c r="A324" s="9"/>
    </row>
    <row r="325" spans="1:1" ht="14.25" customHeight="1">
      <c r="A325" s="9"/>
    </row>
    <row r="326" spans="1:1" ht="14.25" customHeight="1">
      <c r="A326" s="9"/>
    </row>
    <row r="327" spans="1:1" ht="14.25" customHeight="1">
      <c r="A327" s="9"/>
    </row>
    <row r="328" spans="1:1" ht="14.25" customHeight="1">
      <c r="A328" s="9"/>
    </row>
    <row r="329" spans="1:1" ht="14.25" customHeight="1">
      <c r="A329" s="9"/>
    </row>
    <row r="330" spans="1:1" ht="14.25" customHeight="1">
      <c r="A330" s="9"/>
    </row>
    <row r="331" spans="1:1" ht="14.25" customHeight="1">
      <c r="A331" s="9"/>
    </row>
    <row r="332" spans="1:1" ht="14.25" customHeight="1">
      <c r="A332" s="9"/>
    </row>
    <row r="333" spans="1:1" ht="14.25" customHeight="1">
      <c r="A333" s="9"/>
    </row>
    <row r="334" spans="1:1" ht="14.25" customHeight="1">
      <c r="A334" s="9"/>
    </row>
    <row r="335" spans="1:1" ht="14.25" customHeight="1">
      <c r="A335" s="9"/>
    </row>
    <row r="336" spans="1:1" ht="14.25" customHeight="1">
      <c r="A336" s="9"/>
    </row>
    <row r="337" spans="1:1" ht="14.25" customHeight="1">
      <c r="A337" s="9"/>
    </row>
    <row r="338" spans="1:1" ht="14.25" customHeight="1">
      <c r="A338" s="9"/>
    </row>
    <row r="339" spans="1:1" ht="14.25" customHeight="1">
      <c r="A339" s="9"/>
    </row>
    <row r="340" spans="1:1" ht="14.25" customHeight="1">
      <c r="A340" s="9"/>
    </row>
    <row r="341" spans="1:1" ht="14.25" customHeight="1">
      <c r="A341" s="9"/>
    </row>
    <row r="342" spans="1:1" ht="14.25" customHeight="1">
      <c r="A342" s="9"/>
    </row>
    <row r="343" spans="1:1" ht="14.25" customHeight="1">
      <c r="A343" s="9"/>
    </row>
    <row r="344" spans="1:1" ht="14.25" customHeight="1">
      <c r="A344" s="9"/>
    </row>
    <row r="345" spans="1:1" ht="14.25" customHeight="1">
      <c r="A345" s="9"/>
    </row>
    <row r="346" spans="1:1" ht="14.25" customHeight="1">
      <c r="A346" s="9"/>
    </row>
    <row r="347" spans="1:1" ht="14.25" customHeight="1">
      <c r="A347" s="9"/>
    </row>
    <row r="348" spans="1:1" ht="14.25" customHeight="1">
      <c r="A348" s="9"/>
    </row>
    <row r="349" spans="1:1" ht="14.25" customHeight="1">
      <c r="A349" s="9"/>
    </row>
    <row r="350" spans="1:1" ht="14.25" customHeight="1">
      <c r="A350" s="9"/>
    </row>
    <row r="351" spans="1:1" ht="14.25" customHeight="1">
      <c r="A351" s="9"/>
    </row>
    <row r="352" spans="1:1" ht="14.25" customHeight="1">
      <c r="A352" s="9"/>
    </row>
    <row r="353" spans="1:1" ht="14.25" customHeight="1">
      <c r="A353" s="9"/>
    </row>
    <row r="354" spans="1:1" ht="14.25" customHeight="1">
      <c r="A354" s="9"/>
    </row>
    <row r="355" spans="1:1" ht="14.25" customHeight="1">
      <c r="A355" s="9"/>
    </row>
    <row r="356" spans="1:1" ht="14.25" customHeight="1">
      <c r="A356" s="9"/>
    </row>
    <row r="357" spans="1:1" ht="14.25" customHeight="1">
      <c r="A357" s="9"/>
    </row>
    <row r="358" spans="1:1" ht="14.25" customHeight="1">
      <c r="A358" s="9"/>
    </row>
    <row r="359" spans="1:1" ht="14.25" customHeight="1">
      <c r="A359" s="9"/>
    </row>
    <row r="360" spans="1:1" ht="14.25" customHeight="1">
      <c r="A360" s="9"/>
    </row>
    <row r="361" spans="1:1" ht="14.25" customHeight="1">
      <c r="A361" s="9"/>
    </row>
    <row r="362" spans="1:1" ht="14.25" customHeight="1">
      <c r="A362" s="9"/>
    </row>
    <row r="363" spans="1:1" ht="14.25" customHeight="1">
      <c r="A363" s="9"/>
    </row>
    <row r="364" spans="1:1" ht="14.25" customHeight="1">
      <c r="A364" s="9"/>
    </row>
    <row r="365" spans="1:1" ht="14.25" customHeight="1">
      <c r="A365" s="9"/>
    </row>
    <row r="366" spans="1:1" ht="14.25" customHeight="1">
      <c r="A366" s="9"/>
    </row>
    <row r="367" spans="1:1" ht="14.25" customHeight="1">
      <c r="A367" s="9"/>
    </row>
    <row r="368" spans="1:1" ht="14.25" customHeight="1">
      <c r="A368" s="9"/>
    </row>
    <row r="369" spans="1:1" ht="14.25" customHeight="1">
      <c r="A369" s="9"/>
    </row>
    <row r="370" spans="1:1" ht="14.25" customHeight="1">
      <c r="A370" s="9"/>
    </row>
    <row r="371" spans="1:1" ht="14.25" customHeight="1">
      <c r="A371" s="9"/>
    </row>
    <row r="372" spans="1:1" ht="14.25" customHeight="1">
      <c r="A372" s="9"/>
    </row>
    <row r="373" spans="1:1" ht="14.25" customHeight="1">
      <c r="A373" s="9"/>
    </row>
    <row r="374" spans="1:1" ht="14.25" customHeight="1">
      <c r="A374" s="9"/>
    </row>
    <row r="375" spans="1:1" ht="14.25" customHeight="1">
      <c r="A375" s="9"/>
    </row>
    <row r="376" spans="1:1" ht="14.25" customHeight="1">
      <c r="A376" s="9"/>
    </row>
    <row r="377" spans="1:1" ht="14.25" customHeight="1">
      <c r="A377" s="9"/>
    </row>
    <row r="378" spans="1:1" ht="14.25" customHeight="1">
      <c r="A378" s="9"/>
    </row>
    <row r="379" spans="1:1" ht="14.25" customHeight="1">
      <c r="A379" s="9"/>
    </row>
    <row r="380" spans="1:1" ht="14.25" customHeight="1">
      <c r="A380" s="9"/>
    </row>
    <row r="381" spans="1:1" ht="14.25" customHeight="1">
      <c r="A381" s="9"/>
    </row>
    <row r="382" spans="1:1" ht="14.25" customHeight="1">
      <c r="A382" s="9"/>
    </row>
    <row r="383" spans="1:1" ht="14.25" customHeight="1">
      <c r="A383" s="9"/>
    </row>
    <row r="384" spans="1:1" ht="14.25" customHeight="1">
      <c r="A384" s="9"/>
    </row>
    <row r="385" spans="1:1" ht="14.25" customHeight="1">
      <c r="A385" s="9"/>
    </row>
    <row r="386" spans="1:1" ht="14.25" customHeight="1">
      <c r="A386" s="9"/>
    </row>
    <row r="387" spans="1:1" ht="14.25" customHeight="1">
      <c r="A387" s="9"/>
    </row>
    <row r="388" spans="1:1" ht="14.25" customHeight="1">
      <c r="A388" s="9"/>
    </row>
    <row r="389" spans="1:1" ht="14.25" customHeight="1">
      <c r="A389" s="9"/>
    </row>
    <row r="390" spans="1:1" ht="14.25" customHeight="1">
      <c r="A390" s="9"/>
    </row>
    <row r="391" spans="1:1" ht="14.25" customHeight="1">
      <c r="A391" s="9"/>
    </row>
    <row r="392" spans="1:1" ht="14.25" customHeight="1">
      <c r="A392" s="9"/>
    </row>
    <row r="393" spans="1:1" ht="14.25" customHeight="1">
      <c r="A393" s="9"/>
    </row>
    <row r="394" spans="1:1" ht="14.25" customHeight="1">
      <c r="A394" s="9"/>
    </row>
    <row r="395" spans="1:1" ht="14.25" customHeight="1">
      <c r="A395" s="9"/>
    </row>
    <row r="396" spans="1:1" ht="14.25" customHeight="1">
      <c r="A396" s="9"/>
    </row>
    <row r="397" spans="1:1" ht="14.25" customHeight="1">
      <c r="A397" s="9"/>
    </row>
    <row r="398" spans="1:1" ht="14.25" customHeight="1">
      <c r="A398" s="9"/>
    </row>
    <row r="399" spans="1:1" ht="14.25" customHeight="1">
      <c r="A399" s="9"/>
    </row>
    <row r="400" spans="1:1" ht="14.25" customHeight="1">
      <c r="A400" s="9"/>
    </row>
    <row r="401" spans="1:1" ht="14.25" customHeight="1">
      <c r="A401" s="9"/>
    </row>
    <row r="402" spans="1:1" ht="14.25" customHeight="1">
      <c r="A402" s="9"/>
    </row>
    <row r="403" spans="1:1" ht="14.25" customHeight="1">
      <c r="A403" s="9"/>
    </row>
    <row r="404" spans="1:1" ht="14.25" customHeight="1">
      <c r="A404" s="9"/>
    </row>
    <row r="405" spans="1:1" ht="14.25" customHeight="1">
      <c r="A405" s="9"/>
    </row>
    <row r="406" spans="1:1" ht="14.25" customHeight="1">
      <c r="A406" s="9"/>
    </row>
    <row r="407" spans="1:1" ht="14.25" customHeight="1">
      <c r="A407" s="9"/>
    </row>
    <row r="408" spans="1:1" ht="14.25" customHeight="1">
      <c r="A408" s="9"/>
    </row>
    <row r="409" spans="1:1" ht="14.25" customHeight="1">
      <c r="A409" s="9"/>
    </row>
    <row r="410" spans="1:1" ht="14.25" customHeight="1">
      <c r="A410" s="9"/>
    </row>
    <row r="411" spans="1:1" ht="14.25" customHeight="1">
      <c r="A411" s="9"/>
    </row>
    <row r="412" spans="1:1" ht="14.25" customHeight="1">
      <c r="A412" s="9"/>
    </row>
    <row r="413" spans="1:1" ht="14.25" customHeight="1">
      <c r="A413" s="9"/>
    </row>
    <row r="414" spans="1:1" ht="14.25" customHeight="1">
      <c r="A414" s="9"/>
    </row>
    <row r="415" spans="1:1" ht="14.25" customHeight="1">
      <c r="A415" s="9"/>
    </row>
    <row r="416" spans="1:1" ht="14.25" customHeight="1">
      <c r="A416" s="9"/>
    </row>
    <row r="417" spans="1:1" ht="14.25" customHeight="1">
      <c r="A417" s="9"/>
    </row>
    <row r="418" spans="1:1" ht="14.25" customHeight="1">
      <c r="A418" s="9"/>
    </row>
    <row r="419" spans="1:1" ht="14.25" customHeight="1">
      <c r="A419" s="9"/>
    </row>
    <row r="420" spans="1:1" ht="14.25" customHeight="1">
      <c r="A420" s="9"/>
    </row>
    <row r="421" spans="1:1" ht="14.25" customHeight="1">
      <c r="A421" s="9"/>
    </row>
    <row r="422" spans="1:1" ht="14.25" customHeight="1">
      <c r="A422" s="9"/>
    </row>
    <row r="423" spans="1:1" ht="14.25" customHeight="1">
      <c r="A423" s="9"/>
    </row>
    <row r="424" spans="1:1" ht="14.25" customHeight="1">
      <c r="A424" s="9"/>
    </row>
    <row r="425" spans="1:1" ht="14.25" customHeight="1">
      <c r="A425" s="9"/>
    </row>
    <row r="426" spans="1:1" ht="14.25" customHeight="1">
      <c r="A426" s="9"/>
    </row>
    <row r="427" spans="1:1" ht="14.25" customHeight="1">
      <c r="A427" s="9"/>
    </row>
    <row r="428" spans="1:1" ht="14.25" customHeight="1">
      <c r="A428" s="9"/>
    </row>
    <row r="429" spans="1:1" ht="14.25" customHeight="1">
      <c r="A429" s="9"/>
    </row>
    <row r="430" spans="1:1" ht="14.25" customHeight="1">
      <c r="A430" s="9"/>
    </row>
    <row r="431" spans="1:1" ht="14.25" customHeight="1">
      <c r="A431" s="9"/>
    </row>
    <row r="432" spans="1:1" ht="14.25" customHeight="1">
      <c r="A432" s="9"/>
    </row>
    <row r="433" spans="1:1" ht="14.25" customHeight="1">
      <c r="A433" s="9"/>
    </row>
    <row r="434" spans="1:1" ht="14.25" customHeight="1">
      <c r="A434" s="9"/>
    </row>
    <row r="435" spans="1:1" ht="14.25" customHeight="1">
      <c r="A435" s="9"/>
    </row>
    <row r="436" spans="1:1" ht="14.25" customHeight="1">
      <c r="A436" s="9"/>
    </row>
    <row r="437" spans="1:1" ht="14.25" customHeight="1">
      <c r="A437" s="9"/>
    </row>
    <row r="438" spans="1:1" ht="14.25" customHeight="1">
      <c r="A438" s="9"/>
    </row>
    <row r="439" spans="1:1" ht="14.25" customHeight="1">
      <c r="A439" s="9"/>
    </row>
    <row r="440" spans="1:1" ht="14.25" customHeight="1">
      <c r="A440" s="9"/>
    </row>
    <row r="441" spans="1:1" ht="14.25" customHeight="1">
      <c r="A441" s="9"/>
    </row>
    <row r="442" spans="1:1" ht="14.25" customHeight="1">
      <c r="A442" s="9"/>
    </row>
    <row r="443" spans="1:1" ht="14.25" customHeight="1">
      <c r="A443" s="9"/>
    </row>
    <row r="444" spans="1:1" ht="14.25" customHeight="1">
      <c r="A444" s="9"/>
    </row>
    <row r="445" spans="1:1" ht="14.25" customHeight="1">
      <c r="A445" s="9"/>
    </row>
    <row r="446" spans="1:1" ht="14.25" customHeight="1">
      <c r="A446" s="9"/>
    </row>
    <row r="447" spans="1:1" ht="14.25" customHeight="1">
      <c r="A447" s="9"/>
    </row>
    <row r="448" spans="1:1" ht="14.25" customHeight="1">
      <c r="A448" s="9"/>
    </row>
    <row r="449" spans="1:1" ht="14.25" customHeight="1">
      <c r="A449" s="9"/>
    </row>
    <row r="450" spans="1:1" ht="14.25" customHeight="1">
      <c r="A450" s="9"/>
    </row>
    <row r="451" spans="1:1" ht="14.25" customHeight="1">
      <c r="A451" s="9"/>
    </row>
    <row r="452" spans="1:1" ht="14.25" customHeight="1">
      <c r="A452" s="9"/>
    </row>
    <row r="453" spans="1:1" ht="14.25" customHeight="1">
      <c r="A453" s="9"/>
    </row>
    <row r="454" spans="1:1" ht="14.25" customHeight="1">
      <c r="A454" s="9"/>
    </row>
    <row r="455" spans="1:1" ht="14.25" customHeight="1">
      <c r="A455" s="9"/>
    </row>
    <row r="456" spans="1:1" ht="14.25" customHeight="1">
      <c r="A456" s="9"/>
    </row>
    <row r="457" spans="1:1" ht="14.25" customHeight="1">
      <c r="A457" s="9"/>
    </row>
    <row r="458" spans="1:1" ht="14.25" customHeight="1">
      <c r="A458" s="9"/>
    </row>
    <row r="459" spans="1:1" ht="14.25" customHeight="1">
      <c r="A459" s="9"/>
    </row>
    <row r="460" spans="1:1" ht="14.25" customHeight="1">
      <c r="A460" s="9"/>
    </row>
    <row r="461" spans="1:1" ht="14.25" customHeight="1">
      <c r="A461" s="9"/>
    </row>
    <row r="462" spans="1:1" ht="14.25" customHeight="1">
      <c r="A462" s="9"/>
    </row>
    <row r="463" spans="1:1" ht="14.25" customHeight="1">
      <c r="A463" s="9"/>
    </row>
    <row r="464" spans="1:1" ht="14.25" customHeight="1">
      <c r="A464" s="9"/>
    </row>
    <row r="465" spans="1:1" ht="14.25" customHeight="1">
      <c r="A465" s="9"/>
    </row>
    <row r="466" spans="1:1" ht="14.25" customHeight="1">
      <c r="A466" s="9"/>
    </row>
    <row r="467" spans="1:1" ht="14.25" customHeight="1">
      <c r="A467" s="9"/>
    </row>
    <row r="468" spans="1:1" ht="14.25" customHeight="1">
      <c r="A468" s="9"/>
    </row>
    <row r="469" spans="1:1" ht="14.25" customHeight="1">
      <c r="A469" s="9"/>
    </row>
    <row r="470" spans="1:1" ht="14.25" customHeight="1">
      <c r="A470" s="9"/>
    </row>
    <row r="471" spans="1:1" ht="14.25" customHeight="1">
      <c r="A471" s="9"/>
    </row>
    <row r="472" spans="1:1" ht="14.25" customHeight="1">
      <c r="A472" s="9"/>
    </row>
    <row r="473" spans="1:1" ht="14.25" customHeight="1">
      <c r="A473" s="9"/>
    </row>
    <row r="474" spans="1:1" ht="14.25" customHeight="1">
      <c r="A474" s="9"/>
    </row>
    <row r="475" spans="1:1" ht="14.25" customHeight="1">
      <c r="A475" s="9"/>
    </row>
    <row r="476" spans="1:1" ht="14.25" customHeight="1">
      <c r="A476" s="9"/>
    </row>
    <row r="477" spans="1:1" ht="14.25" customHeight="1">
      <c r="A477" s="9"/>
    </row>
    <row r="478" spans="1:1" ht="14.25" customHeight="1">
      <c r="A478" s="9"/>
    </row>
    <row r="479" spans="1:1" ht="14.25" customHeight="1">
      <c r="A479" s="9"/>
    </row>
    <row r="480" spans="1:1" ht="14.25" customHeight="1">
      <c r="A480" s="9"/>
    </row>
    <row r="481" spans="1:1" ht="14.25" customHeight="1">
      <c r="A481" s="9"/>
    </row>
    <row r="482" spans="1:1" ht="14.25" customHeight="1">
      <c r="A482" s="9"/>
    </row>
    <row r="483" spans="1:1" ht="14.25" customHeight="1">
      <c r="A483" s="9"/>
    </row>
    <row r="484" spans="1:1" ht="14.25" customHeight="1">
      <c r="A484" s="9"/>
    </row>
    <row r="485" spans="1:1" ht="14.25" customHeight="1">
      <c r="A485" s="9"/>
    </row>
    <row r="486" spans="1:1" ht="14.25" customHeight="1">
      <c r="A486" s="9"/>
    </row>
    <row r="487" spans="1:1" ht="14.25" customHeight="1">
      <c r="A487" s="9"/>
    </row>
    <row r="488" spans="1:1" ht="14.25" customHeight="1">
      <c r="A488" s="9"/>
    </row>
    <row r="489" spans="1:1" ht="14.25" customHeight="1">
      <c r="A489" s="9"/>
    </row>
    <row r="490" spans="1:1" ht="14.25" customHeight="1">
      <c r="A490" s="9"/>
    </row>
    <row r="491" spans="1:1" ht="14.25" customHeight="1">
      <c r="A491" s="9"/>
    </row>
    <row r="492" spans="1:1" ht="14.25" customHeight="1">
      <c r="A492" s="9"/>
    </row>
    <row r="493" spans="1:1" ht="14.25" customHeight="1">
      <c r="A493" s="9"/>
    </row>
    <row r="494" spans="1:1" ht="14.25" customHeight="1">
      <c r="A494" s="9"/>
    </row>
    <row r="495" spans="1:1" ht="14.25" customHeight="1">
      <c r="A495" s="9"/>
    </row>
    <row r="496" spans="1:1" ht="14.25" customHeight="1">
      <c r="A496" s="9"/>
    </row>
    <row r="497" spans="1:1" ht="14.25" customHeight="1">
      <c r="A497" s="9"/>
    </row>
    <row r="498" spans="1:1" ht="14.25" customHeight="1">
      <c r="A498" s="9"/>
    </row>
    <row r="499" spans="1:1" ht="14.25" customHeight="1">
      <c r="A499" s="9"/>
    </row>
    <row r="500" spans="1:1" ht="14.25" customHeight="1">
      <c r="A500" s="9"/>
    </row>
    <row r="501" spans="1:1" ht="14.25" customHeight="1">
      <c r="A501" s="9"/>
    </row>
    <row r="502" spans="1:1" ht="14.25" customHeight="1">
      <c r="A502" s="9"/>
    </row>
    <row r="503" spans="1:1" ht="14.25" customHeight="1">
      <c r="A503" s="9"/>
    </row>
    <row r="504" spans="1:1" ht="14.25" customHeight="1">
      <c r="A504" s="9"/>
    </row>
    <row r="505" spans="1:1" ht="14.25" customHeight="1">
      <c r="A505" s="9"/>
    </row>
    <row r="506" spans="1:1" ht="14.25" customHeight="1">
      <c r="A506" s="9"/>
    </row>
    <row r="507" spans="1:1" ht="14.25" customHeight="1">
      <c r="A507" s="9"/>
    </row>
    <row r="508" spans="1:1" ht="14.25" customHeight="1">
      <c r="A508" s="9"/>
    </row>
    <row r="509" spans="1:1" ht="14.25" customHeight="1">
      <c r="A509" s="9"/>
    </row>
    <row r="510" spans="1:1" ht="14.25" customHeight="1">
      <c r="A510" s="9"/>
    </row>
    <row r="511" spans="1:1" ht="14.25" customHeight="1">
      <c r="A511" s="9"/>
    </row>
    <row r="512" spans="1:1" ht="14.25" customHeight="1">
      <c r="A512" s="9"/>
    </row>
    <row r="513" spans="1:1" ht="14.25" customHeight="1">
      <c r="A513" s="9"/>
    </row>
    <row r="514" spans="1:1" ht="14.25" customHeight="1">
      <c r="A514" s="9"/>
    </row>
    <row r="515" spans="1:1" ht="14.25" customHeight="1">
      <c r="A515" s="9"/>
    </row>
    <row r="516" spans="1:1" ht="14.25" customHeight="1">
      <c r="A516" s="9"/>
    </row>
    <row r="517" spans="1:1" ht="14.25" customHeight="1">
      <c r="A517" s="9"/>
    </row>
    <row r="518" spans="1:1" ht="14.25" customHeight="1">
      <c r="A518" s="9"/>
    </row>
    <row r="519" spans="1:1" ht="14.25" customHeight="1">
      <c r="A519" s="9"/>
    </row>
    <row r="520" spans="1:1" ht="14.25" customHeight="1">
      <c r="A520" s="9"/>
    </row>
    <row r="521" spans="1:1" ht="14.25" customHeight="1">
      <c r="A521" s="9"/>
    </row>
    <row r="522" spans="1:1" ht="14.25" customHeight="1">
      <c r="A522" s="9"/>
    </row>
    <row r="523" spans="1:1" ht="14.25" customHeight="1">
      <c r="A523" s="9"/>
    </row>
    <row r="524" spans="1:1" ht="14.25" customHeight="1">
      <c r="A524" s="9"/>
    </row>
    <row r="525" spans="1:1" ht="14.25" customHeight="1">
      <c r="A525" s="9"/>
    </row>
    <row r="526" spans="1:1" ht="14.25" customHeight="1">
      <c r="A526" s="9"/>
    </row>
    <row r="527" spans="1:1" ht="14.25" customHeight="1">
      <c r="A527" s="9"/>
    </row>
    <row r="528" spans="1:1" ht="14.25" customHeight="1">
      <c r="A528" s="9"/>
    </row>
    <row r="529" spans="1:1" ht="14.25" customHeight="1">
      <c r="A529" s="9"/>
    </row>
    <row r="530" spans="1:1" ht="14.25" customHeight="1">
      <c r="A530" s="9"/>
    </row>
    <row r="531" spans="1:1" ht="14.25" customHeight="1">
      <c r="A531" s="9"/>
    </row>
    <row r="532" spans="1:1" ht="14.25" customHeight="1">
      <c r="A532" s="9"/>
    </row>
    <row r="533" spans="1:1" ht="14.25" customHeight="1">
      <c r="A533" s="9"/>
    </row>
    <row r="534" spans="1:1" ht="14.25" customHeight="1">
      <c r="A534" s="9"/>
    </row>
    <row r="535" spans="1:1" ht="14.25" customHeight="1">
      <c r="A535" s="9"/>
    </row>
    <row r="536" spans="1:1" ht="14.25" customHeight="1">
      <c r="A536" s="9"/>
    </row>
    <row r="537" spans="1:1" ht="14.25" customHeight="1">
      <c r="A537" s="9"/>
    </row>
    <row r="538" spans="1:1" ht="14.25" customHeight="1">
      <c r="A538" s="9"/>
    </row>
    <row r="539" spans="1:1" ht="14.25" customHeight="1">
      <c r="A539" s="9"/>
    </row>
    <row r="540" spans="1:1" ht="14.25" customHeight="1">
      <c r="A540" s="9"/>
    </row>
    <row r="541" spans="1:1" ht="14.25" customHeight="1">
      <c r="A541" s="9"/>
    </row>
    <row r="542" spans="1:1" ht="14.25" customHeight="1">
      <c r="A542" s="9"/>
    </row>
    <row r="543" spans="1:1" ht="14.25" customHeight="1">
      <c r="A543" s="9"/>
    </row>
    <row r="544" spans="1:1" ht="14.25" customHeight="1">
      <c r="A544" s="9"/>
    </row>
    <row r="545" spans="1:1" ht="14.25" customHeight="1">
      <c r="A545" s="9"/>
    </row>
    <row r="546" spans="1:1" ht="14.25" customHeight="1">
      <c r="A546" s="9"/>
    </row>
    <row r="547" spans="1:1" ht="14.25" customHeight="1">
      <c r="A547" s="9"/>
    </row>
    <row r="548" spans="1:1" ht="14.25" customHeight="1">
      <c r="A548" s="9"/>
    </row>
    <row r="549" spans="1:1" ht="14.25" customHeight="1">
      <c r="A549" s="9"/>
    </row>
    <row r="550" spans="1:1" ht="14.25" customHeight="1">
      <c r="A550" s="9"/>
    </row>
    <row r="551" spans="1:1" ht="14.25" customHeight="1">
      <c r="A551" s="9"/>
    </row>
    <row r="552" spans="1:1" ht="14.25" customHeight="1">
      <c r="A552" s="9"/>
    </row>
    <row r="553" spans="1:1" ht="14.25" customHeight="1">
      <c r="A553" s="9"/>
    </row>
    <row r="554" spans="1:1" ht="14.25" customHeight="1">
      <c r="A554" s="9"/>
    </row>
    <row r="555" spans="1:1" ht="14.25" customHeight="1">
      <c r="A555" s="9"/>
    </row>
    <row r="556" spans="1:1" ht="14.25" customHeight="1">
      <c r="A556" s="9"/>
    </row>
    <row r="557" spans="1:1" ht="14.25" customHeight="1">
      <c r="A557" s="9"/>
    </row>
    <row r="558" spans="1:1" ht="14.25" customHeight="1">
      <c r="A558" s="9"/>
    </row>
    <row r="559" spans="1:1" ht="14.25" customHeight="1">
      <c r="A559" s="9"/>
    </row>
    <row r="560" spans="1:1" ht="14.25" customHeight="1">
      <c r="A560" s="9"/>
    </row>
    <row r="561" spans="1:1" ht="14.25" customHeight="1">
      <c r="A561" s="9"/>
    </row>
    <row r="562" spans="1:1" ht="14.25" customHeight="1">
      <c r="A562" s="9"/>
    </row>
    <row r="563" spans="1:1" ht="14.25" customHeight="1">
      <c r="A563" s="9"/>
    </row>
    <row r="564" spans="1:1" ht="14.25" customHeight="1">
      <c r="A564" s="9"/>
    </row>
    <row r="565" spans="1:1" ht="14.25" customHeight="1">
      <c r="A565" s="9"/>
    </row>
    <row r="566" spans="1:1" ht="14.25" customHeight="1">
      <c r="A566" s="9"/>
    </row>
    <row r="567" spans="1:1" ht="14.25" customHeight="1">
      <c r="A567" s="9"/>
    </row>
    <row r="568" spans="1:1" ht="14.25" customHeight="1">
      <c r="A568" s="9"/>
    </row>
    <row r="569" spans="1:1" ht="14.25" customHeight="1">
      <c r="A569" s="9"/>
    </row>
    <row r="570" spans="1:1" ht="14.25" customHeight="1">
      <c r="A570" s="9"/>
    </row>
    <row r="571" spans="1:1" ht="14.25" customHeight="1">
      <c r="A571" s="9"/>
    </row>
    <row r="572" spans="1:1" ht="14.25" customHeight="1">
      <c r="A572" s="9"/>
    </row>
    <row r="573" spans="1:1" ht="14.25" customHeight="1">
      <c r="A573" s="9"/>
    </row>
    <row r="574" spans="1:1" ht="14.25" customHeight="1">
      <c r="A574" s="9"/>
    </row>
    <row r="575" spans="1:1" ht="14.25" customHeight="1">
      <c r="A575" s="9"/>
    </row>
    <row r="576" spans="1:1" ht="14.25" customHeight="1">
      <c r="A576" s="9"/>
    </row>
    <row r="577" spans="1:1" ht="14.25" customHeight="1">
      <c r="A577" s="9"/>
    </row>
    <row r="578" spans="1:1" ht="14.25" customHeight="1">
      <c r="A578" s="9"/>
    </row>
    <row r="579" spans="1:1" ht="14.25" customHeight="1">
      <c r="A579" s="9"/>
    </row>
    <row r="580" spans="1:1" ht="14.25" customHeight="1">
      <c r="A580" s="9"/>
    </row>
    <row r="581" spans="1:1" ht="14.25" customHeight="1">
      <c r="A581" s="9"/>
    </row>
    <row r="582" spans="1:1" ht="14.25" customHeight="1">
      <c r="A582" s="9"/>
    </row>
    <row r="583" spans="1:1" ht="14.25" customHeight="1">
      <c r="A583" s="9"/>
    </row>
    <row r="584" spans="1:1" ht="14.25" customHeight="1">
      <c r="A584" s="9"/>
    </row>
    <row r="585" spans="1:1" ht="14.25" customHeight="1">
      <c r="A585" s="9"/>
    </row>
    <row r="586" spans="1:1" ht="14.25" customHeight="1">
      <c r="A586" s="9"/>
    </row>
    <row r="587" spans="1:1" ht="14.25" customHeight="1">
      <c r="A587" s="9"/>
    </row>
    <row r="588" spans="1:1" ht="14.25" customHeight="1">
      <c r="A588" s="9"/>
    </row>
    <row r="589" spans="1:1" ht="14.25" customHeight="1">
      <c r="A589" s="9"/>
    </row>
    <row r="590" spans="1:1" ht="14.25" customHeight="1">
      <c r="A590" s="9"/>
    </row>
    <row r="591" spans="1:1" ht="14.25" customHeight="1">
      <c r="A591" s="9"/>
    </row>
    <row r="592" spans="1:1" ht="14.25" customHeight="1">
      <c r="A592" s="9"/>
    </row>
    <row r="593" spans="1:1" ht="14.25" customHeight="1">
      <c r="A593" s="9"/>
    </row>
    <row r="594" spans="1:1" ht="14.25" customHeight="1">
      <c r="A594" s="9"/>
    </row>
    <row r="595" spans="1:1" ht="14.25" customHeight="1">
      <c r="A595" s="9"/>
    </row>
    <row r="596" spans="1:1" ht="14.25" customHeight="1">
      <c r="A596" s="9"/>
    </row>
    <row r="597" spans="1:1" ht="14.25" customHeight="1">
      <c r="A597" s="9"/>
    </row>
    <row r="598" spans="1:1" ht="14.25" customHeight="1">
      <c r="A598" s="9"/>
    </row>
    <row r="599" spans="1:1" ht="14.25" customHeight="1">
      <c r="A599" s="9"/>
    </row>
    <row r="600" spans="1:1" ht="14.25" customHeight="1">
      <c r="A600" s="9"/>
    </row>
    <row r="601" spans="1:1" ht="14.25" customHeight="1">
      <c r="A601" s="9"/>
    </row>
    <row r="602" spans="1:1" ht="14.25" customHeight="1">
      <c r="A602" s="9"/>
    </row>
    <row r="603" spans="1:1" ht="14.25" customHeight="1">
      <c r="A603" s="9"/>
    </row>
    <row r="604" spans="1:1" ht="14.25" customHeight="1">
      <c r="A604" s="9"/>
    </row>
    <row r="605" spans="1:1" ht="14.25" customHeight="1">
      <c r="A605" s="9"/>
    </row>
    <row r="606" spans="1:1" ht="14.25" customHeight="1">
      <c r="A606" s="9"/>
    </row>
    <row r="607" spans="1:1" ht="14.25" customHeight="1">
      <c r="A607" s="9"/>
    </row>
    <row r="608" spans="1:1" ht="14.25" customHeight="1">
      <c r="A608" s="9"/>
    </row>
    <row r="609" spans="1:1" ht="14.25" customHeight="1">
      <c r="A609" s="9"/>
    </row>
    <row r="610" spans="1:1" ht="14.25" customHeight="1">
      <c r="A610" s="9"/>
    </row>
    <row r="611" spans="1:1" ht="14.25" customHeight="1">
      <c r="A611" s="9"/>
    </row>
    <row r="612" spans="1:1" ht="14.25" customHeight="1">
      <c r="A612" s="9"/>
    </row>
    <row r="613" spans="1:1" ht="14.25" customHeight="1">
      <c r="A613" s="9"/>
    </row>
    <row r="614" spans="1:1" ht="14.25" customHeight="1">
      <c r="A614" s="9"/>
    </row>
    <row r="615" spans="1:1" ht="14.25" customHeight="1">
      <c r="A615" s="9"/>
    </row>
    <row r="616" spans="1:1" ht="14.25" customHeight="1">
      <c r="A616" s="9"/>
    </row>
    <row r="617" spans="1:1" ht="14.25" customHeight="1">
      <c r="A617" s="9"/>
    </row>
    <row r="618" spans="1:1" ht="14.25" customHeight="1">
      <c r="A618" s="9"/>
    </row>
    <row r="619" spans="1:1" ht="14.25" customHeight="1">
      <c r="A619" s="9"/>
    </row>
    <row r="620" spans="1:1" ht="14.25" customHeight="1">
      <c r="A620" s="9"/>
    </row>
    <row r="621" spans="1:1" ht="14.25" customHeight="1">
      <c r="A621" s="9"/>
    </row>
    <row r="622" spans="1:1" ht="14.25" customHeight="1">
      <c r="A622" s="9"/>
    </row>
    <row r="623" spans="1:1" ht="14.25" customHeight="1">
      <c r="A623" s="9"/>
    </row>
    <row r="624" spans="1:1" ht="14.25" customHeight="1">
      <c r="A624" s="9"/>
    </row>
    <row r="625" spans="1:1" ht="14.25" customHeight="1">
      <c r="A625" s="9"/>
    </row>
    <row r="626" spans="1:1" ht="14.25" customHeight="1">
      <c r="A626" s="9"/>
    </row>
    <row r="627" spans="1:1" ht="14.25" customHeight="1">
      <c r="A627" s="9"/>
    </row>
    <row r="628" spans="1:1" ht="14.25" customHeight="1">
      <c r="A628" s="9"/>
    </row>
    <row r="629" spans="1:1" ht="14.25" customHeight="1">
      <c r="A629" s="9"/>
    </row>
    <row r="630" spans="1:1" ht="14.25" customHeight="1">
      <c r="A630" s="9"/>
    </row>
    <row r="631" spans="1:1" ht="14.25" customHeight="1">
      <c r="A631" s="9"/>
    </row>
    <row r="632" spans="1:1" ht="14.25" customHeight="1">
      <c r="A632" s="9"/>
    </row>
    <row r="633" spans="1:1" ht="14.25" customHeight="1">
      <c r="A633" s="9"/>
    </row>
    <row r="634" spans="1:1" ht="14.25" customHeight="1">
      <c r="A634" s="9"/>
    </row>
    <row r="635" spans="1:1" ht="14.25" customHeight="1">
      <c r="A635" s="9"/>
    </row>
    <row r="636" spans="1:1" ht="14.25" customHeight="1">
      <c r="A636" s="9"/>
    </row>
    <row r="637" spans="1:1" ht="14.25" customHeight="1">
      <c r="A637" s="9"/>
    </row>
    <row r="638" spans="1:1" ht="14.25" customHeight="1">
      <c r="A638" s="9"/>
    </row>
    <row r="639" spans="1:1" ht="14.25" customHeight="1">
      <c r="A639" s="9"/>
    </row>
    <row r="640" spans="1:1" ht="14.25" customHeight="1">
      <c r="A640" s="9"/>
    </row>
    <row r="641" spans="1:1" ht="14.25" customHeight="1">
      <c r="A641" s="9"/>
    </row>
    <row r="642" spans="1:1" ht="14.25" customHeight="1">
      <c r="A642" s="9"/>
    </row>
    <row r="643" spans="1:1" ht="14.25" customHeight="1">
      <c r="A643" s="9"/>
    </row>
    <row r="644" spans="1:1" ht="14.25" customHeight="1">
      <c r="A644" s="9"/>
    </row>
    <row r="645" spans="1:1" ht="14.25" customHeight="1">
      <c r="A645" s="9"/>
    </row>
    <row r="646" spans="1:1" ht="14.25" customHeight="1">
      <c r="A646" s="9"/>
    </row>
    <row r="647" spans="1:1" ht="14.25" customHeight="1">
      <c r="A647" s="9"/>
    </row>
    <row r="648" spans="1:1" ht="14.25" customHeight="1">
      <c r="A648" s="9"/>
    </row>
    <row r="649" spans="1:1" ht="14.25" customHeight="1">
      <c r="A649" s="9"/>
    </row>
    <row r="650" spans="1:1" ht="14.25" customHeight="1">
      <c r="A650" s="9"/>
    </row>
    <row r="651" spans="1:1" ht="14.25" customHeight="1">
      <c r="A651" s="9"/>
    </row>
    <row r="652" spans="1:1" ht="14.25" customHeight="1">
      <c r="A652" s="9"/>
    </row>
    <row r="653" spans="1:1" ht="14.25" customHeight="1">
      <c r="A653" s="9"/>
    </row>
    <row r="654" spans="1:1" ht="14.25" customHeight="1">
      <c r="A654" s="9"/>
    </row>
    <row r="655" spans="1:1" ht="14.25" customHeight="1">
      <c r="A655" s="9"/>
    </row>
    <row r="656" spans="1:1" ht="14.25" customHeight="1">
      <c r="A656" s="9"/>
    </row>
    <row r="657" spans="1:1" ht="14.25" customHeight="1">
      <c r="A657" s="9"/>
    </row>
    <row r="658" spans="1:1" ht="14.25" customHeight="1">
      <c r="A658" s="9"/>
    </row>
    <row r="659" spans="1:1" ht="14.25" customHeight="1">
      <c r="A659" s="9"/>
    </row>
    <row r="660" spans="1:1" ht="14.25" customHeight="1">
      <c r="A660" s="9"/>
    </row>
    <row r="661" spans="1:1" ht="14.25" customHeight="1">
      <c r="A661" s="9"/>
    </row>
    <row r="662" spans="1:1" ht="14.25" customHeight="1">
      <c r="A662" s="9"/>
    </row>
    <row r="663" spans="1:1" ht="14.25" customHeight="1">
      <c r="A663" s="9"/>
    </row>
    <row r="664" spans="1:1" ht="14.25" customHeight="1">
      <c r="A664" s="9"/>
    </row>
    <row r="665" spans="1:1" ht="14.25" customHeight="1">
      <c r="A665" s="9"/>
    </row>
    <row r="666" spans="1:1" ht="14.25" customHeight="1">
      <c r="A666" s="9"/>
    </row>
    <row r="667" spans="1:1" ht="14.25" customHeight="1">
      <c r="A667" s="9"/>
    </row>
    <row r="668" spans="1:1" ht="14.25" customHeight="1">
      <c r="A668" s="9"/>
    </row>
    <row r="669" spans="1:1" ht="14.25" customHeight="1">
      <c r="A669" s="9"/>
    </row>
    <row r="670" spans="1:1" ht="14.25" customHeight="1">
      <c r="A670" s="9"/>
    </row>
    <row r="671" spans="1:1" ht="14.25" customHeight="1">
      <c r="A671" s="9"/>
    </row>
    <row r="672" spans="1:1" ht="14.25" customHeight="1">
      <c r="A672" s="9"/>
    </row>
    <row r="673" spans="1:1" ht="14.25" customHeight="1">
      <c r="A673" s="9"/>
    </row>
    <row r="674" spans="1:1" ht="14.25" customHeight="1">
      <c r="A674" s="9"/>
    </row>
    <row r="675" spans="1:1" ht="14.25" customHeight="1">
      <c r="A675" s="9"/>
    </row>
    <row r="676" spans="1:1" ht="14.25" customHeight="1">
      <c r="A676" s="9"/>
    </row>
    <row r="677" spans="1:1" ht="14.25" customHeight="1">
      <c r="A677" s="9"/>
    </row>
    <row r="678" spans="1:1" ht="14.25" customHeight="1">
      <c r="A678" s="9"/>
    </row>
    <row r="679" spans="1:1" ht="14.25" customHeight="1">
      <c r="A679" s="9"/>
    </row>
    <row r="680" spans="1:1" ht="14.25" customHeight="1">
      <c r="A680" s="9"/>
    </row>
    <row r="681" spans="1:1" ht="14.25" customHeight="1">
      <c r="A681" s="9"/>
    </row>
    <row r="682" spans="1:1" ht="14.25" customHeight="1">
      <c r="A682" s="9"/>
    </row>
    <row r="683" spans="1:1" ht="14.25" customHeight="1">
      <c r="A683" s="9"/>
    </row>
    <row r="684" spans="1:1" ht="14.25" customHeight="1">
      <c r="A684" s="9"/>
    </row>
    <row r="685" spans="1:1" ht="14.25" customHeight="1">
      <c r="A685" s="9"/>
    </row>
    <row r="686" spans="1:1" ht="14.25" customHeight="1">
      <c r="A686" s="9"/>
    </row>
    <row r="687" spans="1:1" ht="14.25" customHeight="1">
      <c r="A687" s="9"/>
    </row>
    <row r="688" spans="1:1" ht="14.25" customHeight="1">
      <c r="A688" s="9"/>
    </row>
    <row r="689" spans="1:1" ht="14.25" customHeight="1">
      <c r="A689" s="9"/>
    </row>
    <row r="690" spans="1:1" ht="14.25" customHeight="1">
      <c r="A690" s="9"/>
    </row>
    <row r="691" spans="1:1" ht="14.25" customHeight="1">
      <c r="A691" s="9"/>
    </row>
    <row r="692" spans="1:1" ht="14.25" customHeight="1">
      <c r="A692" s="9"/>
    </row>
    <row r="693" spans="1:1" ht="14.25" customHeight="1">
      <c r="A693" s="9"/>
    </row>
    <row r="694" spans="1:1" ht="14.25" customHeight="1">
      <c r="A694" s="9"/>
    </row>
    <row r="695" spans="1:1" ht="14.25" customHeight="1">
      <c r="A695" s="9"/>
    </row>
    <row r="696" spans="1:1" ht="14.25" customHeight="1">
      <c r="A696" s="9"/>
    </row>
    <row r="697" spans="1:1" ht="14.25" customHeight="1">
      <c r="A697" s="9"/>
    </row>
    <row r="698" spans="1:1" ht="14.25" customHeight="1">
      <c r="A698" s="9"/>
    </row>
    <row r="699" spans="1:1" ht="14.25" customHeight="1">
      <c r="A699" s="9"/>
    </row>
    <row r="700" spans="1:1" ht="14.25" customHeight="1">
      <c r="A700" s="9"/>
    </row>
    <row r="701" spans="1:1" ht="14.25" customHeight="1">
      <c r="A701" s="9"/>
    </row>
    <row r="702" spans="1:1" ht="14.25" customHeight="1">
      <c r="A702" s="9"/>
    </row>
    <row r="703" spans="1:1" ht="14.25" customHeight="1">
      <c r="A703" s="9"/>
    </row>
    <row r="704" spans="1:1" ht="14.25" customHeight="1">
      <c r="A704" s="9"/>
    </row>
    <row r="705" spans="1:1" ht="14.25" customHeight="1">
      <c r="A705" s="9"/>
    </row>
    <row r="706" spans="1:1" ht="14.25" customHeight="1">
      <c r="A706" s="9"/>
    </row>
    <row r="707" spans="1:1" ht="14.25" customHeight="1">
      <c r="A707" s="9"/>
    </row>
    <row r="708" spans="1:1" ht="14.25" customHeight="1">
      <c r="A708" s="9"/>
    </row>
    <row r="709" spans="1:1" ht="14.25" customHeight="1">
      <c r="A709" s="9"/>
    </row>
    <row r="710" spans="1:1" ht="14.25" customHeight="1">
      <c r="A710" s="9"/>
    </row>
    <row r="711" spans="1:1" ht="14.25" customHeight="1">
      <c r="A711" s="9"/>
    </row>
    <row r="712" spans="1:1" ht="14.25" customHeight="1">
      <c r="A712" s="9"/>
    </row>
    <row r="713" spans="1:1" ht="14.25" customHeight="1">
      <c r="A713" s="9"/>
    </row>
    <row r="714" spans="1:1" ht="14.25" customHeight="1">
      <c r="A714" s="9"/>
    </row>
    <row r="715" spans="1:1" ht="14.25" customHeight="1">
      <c r="A715" s="9"/>
    </row>
    <row r="716" spans="1:1" ht="14.25" customHeight="1">
      <c r="A716" s="9"/>
    </row>
    <row r="717" spans="1:1" ht="14.25" customHeight="1">
      <c r="A717" s="9"/>
    </row>
    <row r="718" spans="1:1" ht="14.25" customHeight="1">
      <c r="A718" s="9"/>
    </row>
    <row r="719" spans="1:1" ht="14.25" customHeight="1">
      <c r="A719" s="9"/>
    </row>
    <row r="720" spans="1:1" ht="14.25" customHeight="1">
      <c r="A720" s="9"/>
    </row>
    <row r="721" spans="1:1" ht="14.25" customHeight="1">
      <c r="A721" s="9"/>
    </row>
    <row r="722" spans="1:1" ht="14.25" customHeight="1">
      <c r="A722" s="9"/>
    </row>
    <row r="723" spans="1:1" ht="14.25" customHeight="1">
      <c r="A723" s="9"/>
    </row>
    <row r="724" spans="1:1" ht="14.25" customHeight="1">
      <c r="A724" s="9"/>
    </row>
    <row r="725" spans="1:1" ht="14.25" customHeight="1">
      <c r="A725" s="9"/>
    </row>
    <row r="726" spans="1:1" ht="14.25" customHeight="1">
      <c r="A726" s="9"/>
    </row>
    <row r="727" spans="1:1" ht="14.25" customHeight="1">
      <c r="A727" s="9"/>
    </row>
    <row r="728" spans="1:1" ht="14.25" customHeight="1">
      <c r="A728" s="9"/>
    </row>
    <row r="729" spans="1:1" ht="14.25" customHeight="1">
      <c r="A729" s="9"/>
    </row>
    <row r="730" spans="1:1" ht="14.25" customHeight="1">
      <c r="A730" s="9"/>
    </row>
    <row r="731" spans="1:1" ht="14.25" customHeight="1">
      <c r="A731" s="9"/>
    </row>
    <row r="732" spans="1:1" ht="14.25" customHeight="1">
      <c r="A732" s="9"/>
    </row>
    <row r="733" spans="1:1" ht="14.25" customHeight="1">
      <c r="A733" s="9"/>
    </row>
    <row r="734" spans="1:1" ht="14.25" customHeight="1">
      <c r="A734" s="9"/>
    </row>
    <row r="735" spans="1:1" ht="14.25" customHeight="1">
      <c r="A735" s="9"/>
    </row>
    <row r="736" spans="1:1" ht="14.25" customHeight="1">
      <c r="A736" s="9"/>
    </row>
    <row r="737" spans="1:1" ht="14.25" customHeight="1">
      <c r="A737" s="9"/>
    </row>
    <row r="738" spans="1:1" ht="14.25" customHeight="1">
      <c r="A738" s="9"/>
    </row>
    <row r="739" spans="1:1" ht="14.25" customHeight="1">
      <c r="A739" s="9"/>
    </row>
    <row r="740" spans="1:1" ht="14.25" customHeight="1">
      <c r="A740" s="9"/>
    </row>
    <row r="741" spans="1:1" ht="14.25" customHeight="1">
      <c r="A741" s="9"/>
    </row>
    <row r="742" spans="1:1" ht="14.25" customHeight="1">
      <c r="A742" s="9"/>
    </row>
    <row r="743" spans="1:1" ht="14.25" customHeight="1">
      <c r="A743" s="9"/>
    </row>
    <row r="744" spans="1:1" ht="14.25" customHeight="1">
      <c r="A744" s="9"/>
    </row>
    <row r="745" spans="1:1" ht="14.25" customHeight="1">
      <c r="A745" s="9"/>
    </row>
    <row r="746" spans="1:1" ht="14.25" customHeight="1">
      <c r="A746" s="9"/>
    </row>
    <row r="747" spans="1:1" ht="14.25" customHeight="1">
      <c r="A747" s="9"/>
    </row>
    <row r="748" spans="1:1" ht="14.25" customHeight="1">
      <c r="A748" s="9"/>
    </row>
    <row r="749" spans="1:1" ht="14.25" customHeight="1">
      <c r="A749" s="9"/>
    </row>
    <row r="750" spans="1:1" ht="14.25" customHeight="1">
      <c r="A750" s="9"/>
    </row>
    <row r="751" spans="1:1" ht="14.25" customHeight="1">
      <c r="A751" s="9"/>
    </row>
    <row r="752" spans="1:1" ht="14.25" customHeight="1">
      <c r="A752" s="9"/>
    </row>
    <row r="753" spans="1:1" ht="14.25" customHeight="1">
      <c r="A753" s="9"/>
    </row>
    <row r="754" spans="1:1" ht="14.25" customHeight="1">
      <c r="A754" s="9"/>
    </row>
    <row r="755" spans="1:1" ht="14.25" customHeight="1">
      <c r="A755" s="9"/>
    </row>
    <row r="756" spans="1:1" ht="14.25" customHeight="1">
      <c r="A756" s="9"/>
    </row>
    <row r="757" spans="1:1" ht="14.25" customHeight="1">
      <c r="A757" s="9"/>
    </row>
    <row r="758" spans="1:1" ht="14.25" customHeight="1">
      <c r="A758" s="9"/>
    </row>
    <row r="759" spans="1:1" ht="14.25" customHeight="1">
      <c r="A759" s="9"/>
    </row>
    <row r="760" spans="1:1" ht="14.25" customHeight="1">
      <c r="A760" s="9"/>
    </row>
    <row r="761" spans="1:1" ht="14.25" customHeight="1">
      <c r="A761" s="9"/>
    </row>
    <row r="762" spans="1:1" ht="14.25" customHeight="1">
      <c r="A762" s="9"/>
    </row>
    <row r="763" spans="1:1" ht="14.25" customHeight="1">
      <c r="A763" s="9"/>
    </row>
    <row r="764" spans="1:1" ht="14.25" customHeight="1">
      <c r="A764" s="9"/>
    </row>
    <row r="765" spans="1:1" ht="14.25" customHeight="1">
      <c r="A765" s="9"/>
    </row>
    <row r="766" spans="1:1" ht="14.25" customHeight="1">
      <c r="A766" s="9"/>
    </row>
    <row r="767" spans="1:1" ht="14.25" customHeight="1">
      <c r="A767" s="9"/>
    </row>
    <row r="768" spans="1:1" ht="14.25" customHeight="1">
      <c r="A768" s="9"/>
    </row>
    <row r="769" spans="1:1" ht="14.25" customHeight="1">
      <c r="A769" s="9"/>
    </row>
    <row r="770" spans="1:1" ht="14.25" customHeight="1">
      <c r="A770" s="9"/>
    </row>
    <row r="771" spans="1:1" ht="14.25" customHeight="1">
      <c r="A771" s="9"/>
    </row>
    <row r="772" spans="1:1" ht="14.25" customHeight="1">
      <c r="A772" s="9"/>
    </row>
    <row r="773" spans="1:1" ht="14.25" customHeight="1">
      <c r="A773" s="9"/>
    </row>
    <row r="774" spans="1:1" ht="14.25" customHeight="1">
      <c r="A774" s="9"/>
    </row>
    <row r="775" spans="1:1" ht="14.25" customHeight="1">
      <c r="A775" s="9"/>
    </row>
    <row r="776" spans="1:1" ht="14.25" customHeight="1">
      <c r="A776" s="9"/>
    </row>
    <row r="777" spans="1:1" ht="14.25" customHeight="1">
      <c r="A777" s="9"/>
    </row>
    <row r="778" spans="1:1" ht="14.25" customHeight="1">
      <c r="A778" s="9"/>
    </row>
    <row r="779" spans="1:1" ht="14.25" customHeight="1">
      <c r="A779" s="9"/>
    </row>
    <row r="780" spans="1:1" ht="14.25" customHeight="1">
      <c r="A780" s="9"/>
    </row>
    <row r="781" spans="1:1" ht="14.25" customHeight="1">
      <c r="A781" s="9"/>
    </row>
    <row r="782" spans="1:1" ht="14.25" customHeight="1">
      <c r="A782" s="9"/>
    </row>
    <row r="783" spans="1:1" ht="14.25" customHeight="1">
      <c r="A783" s="9"/>
    </row>
    <row r="784" spans="1:1" ht="14.25" customHeight="1">
      <c r="A784" s="9"/>
    </row>
    <row r="785" spans="1:1" ht="14.25" customHeight="1">
      <c r="A785" s="9"/>
    </row>
    <row r="786" spans="1:1" ht="14.25" customHeight="1">
      <c r="A786" s="9"/>
    </row>
    <row r="787" spans="1:1" ht="14.25" customHeight="1">
      <c r="A787" s="9"/>
    </row>
    <row r="788" spans="1:1" ht="14.25" customHeight="1">
      <c r="A788" s="9"/>
    </row>
    <row r="789" spans="1:1" ht="14.25" customHeight="1">
      <c r="A789" s="9"/>
    </row>
    <row r="790" spans="1:1" ht="14.25" customHeight="1">
      <c r="A790" s="9"/>
    </row>
    <row r="791" spans="1:1" ht="14.25" customHeight="1">
      <c r="A791" s="9"/>
    </row>
    <row r="792" spans="1:1" ht="14.25" customHeight="1">
      <c r="A792" s="9"/>
    </row>
    <row r="793" spans="1:1" ht="14.25" customHeight="1">
      <c r="A793" s="9"/>
    </row>
    <row r="794" spans="1:1" ht="14.25" customHeight="1">
      <c r="A794" s="9"/>
    </row>
    <row r="795" spans="1:1" ht="14.25" customHeight="1">
      <c r="A795" s="9"/>
    </row>
    <row r="796" spans="1:1" ht="14.25" customHeight="1">
      <c r="A796" s="9"/>
    </row>
    <row r="797" spans="1:1" ht="14.25" customHeight="1">
      <c r="A797" s="9"/>
    </row>
    <row r="798" spans="1:1" ht="14.25" customHeight="1">
      <c r="A798" s="9"/>
    </row>
    <row r="799" spans="1:1" ht="14.25" customHeight="1">
      <c r="A799" s="9"/>
    </row>
    <row r="800" spans="1:1" ht="14.25" customHeight="1">
      <c r="A800" s="9"/>
    </row>
    <row r="801" spans="1:1" ht="14.25" customHeight="1">
      <c r="A801" s="9"/>
    </row>
    <row r="802" spans="1:1" ht="14.25" customHeight="1">
      <c r="A802" s="9"/>
    </row>
    <row r="803" spans="1:1" ht="14.25" customHeight="1">
      <c r="A803" s="9"/>
    </row>
    <row r="804" spans="1:1" ht="14.25" customHeight="1">
      <c r="A804" s="9"/>
    </row>
    <row r="805" spans="1:1" ht="14.25" customHeight="1">
      <c r="A805" s="9"/>
    </row>
    <row r="806" spans="1:1" ht="14.25" customHeight="1">
      <c r="A806" s="9"/>
    </row>
    <row r="807" spans="1:1" ht="14.25" customHeight="1">
      <c r="A807" s="9"/>
    </row>
    <row r="808" spans="1:1" ht="14.25" customHeight="1">
      <c r="A808" s="9"/>
    </row>
    <row r="809" spans="1:1" ht="14.25" customHeight="1">
      <c r="A809" s="9"/>
    </row>
    <row r="810" spans="1:1" ht="14.25" customHeight="1">
      <c r="A810" s="9"/>
    </row>
    <row r="811" spans="1:1" ht="14.25" customHeight="1">
      <c r="A811" s="9"/>
    </row>
    <row r="812" spans="1:1" ht="14.25" customHeight="1">
      <c r="A812" s="9"/>
    </row>
    <row r="813" spans="1:1" ht="14.25" customHeight="1">
      <c r="A813" s="9"/>
    </row>
    <row r="814" spans="1:1" ht="14.25" customHeight="1">
      <c r="A814" s="9"/>
    </row>
    <row r="815" spans="1:1" ht="14.25" customHeight="1">
      <c r="A815" s="9"/>
    </row>
    <row r="816" spans="1:1" ht="14.25" customHeight="1">
      <c r="A816" s="9"/>
    </row>
    <row r="817" spans="1:1" ht="14.25" customHeight="1">
      <c r="A817" s="9"/>
    </row>
    <row r="818" spans="1:1" ht="14.25" customHeight="1">
      <c r="A818" s="9"/>
    </row>
    <row r="819" spans="1:1" ht="14.25" customHeight="1">
      <c r="A819" s="9"/>
    </row>
    <row r="820" spans="1:1" ht="14.25" customHeight="1">
      <c r="A820" s="9"/>
    </row>
    <row r="821" spans="1:1" ht="14.25" customHeight="1">
      <c r="A821" s="9"/>
    </row>
    <row r="822" spans="1:1" ht="14.25" customHeight="1">
      <c r="A822" s="9"/>
    </row>
    <row r="823" spans="1:1" ht="14.25" customHeight="1">
      <c r="A823" s="9"/>
    </row>
    <row r="824" spans="1:1" ht="14.25" customHeight="1">
      <c r="A824" s="9"/>
    </row>
    <row r="825" spans="1:1" ht="14.25" customHeight="1">
      <c r="A825" s="9"/>
    </row>
    <row r="826" spans="1:1" ht="14.25" customHeight="1">
      <c r="A826" s="9"/>
    </row>
    <row r="827" spans="1:1" ht="14.25" customHeight="1">
      <c r="A827" s="9"/>
    </row>
    <row r="828" spans="1:1" ht="14.25" customHeight="1">
      <c r="A828" s="9"/>
    </row>
    <row r="829" spans="1:1" ht="14.25" customHeight="1">
      <c r="A829" s="9"/>
    </row>
    <row r="830" spans="1:1" ht="14.25" customHeight="1">
      <c r="A830" s="9"/>
    </row>
    <row r="831" spans="1:1" ht="14.25" customHeight="1">
      <c r="A831" s="9"/>
    </row>
    <row r="832" spans="1:1" ht="14.25" customHeight="1">
      <c r="A832" s="9"/>
    </row>
    <row r="833" spans="1:1" ht="14.25" customHeight="1">
      <c r="A833" s="9"/>
    </row>
    <row r="834" spans="1:1" ht="14.25" customHeight="1">
      <c r="A834" s="9"/>
    </row>
    <row r="835" spans="1:1" ht="14.25" customHeight="1">
      <c r="A835" s="9"/>
    </row>
    <row r="836" spans="1:1" ht="14.25" customHeight="1">
      <c r="A836" s="9"/>
    </row>
    <row r="837" spans="1:1" ht="14.25" customHeight="1">
      <c r="A837" s="9"/>
    </row>
    <row r="838" spans="1:1" ht="14.25" customHeight="1">
      <c r="A838" s="9"/>
    </row>
    <row r="839" spans="1:1" ht="14.25" customHeight="1">
      <c r="A839" s="9"/>
    </row>
    <row r="840" spans="1:1" ht="14.25" customHeight="1">
      <c r="A840" s="9"/>
    </row>
    <row r="841" spans="1:1" ht="14.25" customHeight="1">
      <c r="A841" s="9"/>
    </row>
    <row r="842" spans="1:1" ht="14.25" customHeight="1">
      <c r="A842" s="9"/>
    </row>
    <row r="843" spans="1:1" ht="14.25" customHeight="1">
      <c r="A843" s="9"/>
    </row>
    <row r="844" spans="1:1" ht="14.25" customHeight="1">
      <c r="A844" s="9"/>
    </row>
    <row r="845" spans="1:1" ht="14.25" customHeight="1">
      <c r="A845" s="9"/>
    </row>
    <row r="846" spans="1:1" ht="14.25" customHeight="1">
      <c r="A846" s="9"/>
    </row>
    <row r="847" spans="1:1" ht="14.25" customHeight="1">
      <c r="A847" s="9"/>
    </row>
    <row r="848" spans="1:1" ht="14.25" customHeight="1">
      <c r="A848" s="9"/>
    </row>
    <row r="849" spans="1:1" ht="14.25" customHeight="1">
      <c r="A849" s="9"/>
    </row>
    <row r="850" spans="1:1" ht="14.25" customHeight="1">
      <c r="A850" s="9"/>
    </row>
    <row r="851" spans="1:1" ht="14.25" customHeight="1">
      <c r="A851" s="9"/>
    </row>
    <row r="852" spans="1:1" ht="14.25" customHeight="1">
      <c r="A852" s="9"/>
    </row>
    <row r="853" spans="1:1" ht="14.25" customHeight="1">
      <c r="A853" s="9"/>
    </row>
    <row r="854" spans="1:1" ht="14.25" customHeight="1">
      <c r="A854" s="9"/>
    </row>
    <row r="855" spans="1:1" ht="14.25" customHeight="1">
      <c r="A855" s="9"/>
    </row>
    <row r="856" spans="1:1" ht="14.25" customHeight="1">
      <c r="A856" s="9"/>
    </row>
    <row r="857" spans="1:1" ht="14.25" customHeight="1">
      <c r="A857" s="9"/>
    </row>
    <row r="858" spans="1:1" ht="14.25" customHeight="1">
      <c r="A858" s="9"/>
    </row>
    <row r="859" spans="1:1" ht="14.25" customHeight="1">
      <c r="A859" s="9"/>
    </row>
    <row r="860" spans="1:1" ht="14.25" customHeight="1">
      <c r="A860" s="9"/>
    </row>
    <row r="861" spans="1:1" ht="14.25" customHeight="1">
      <c r="A861" s="9"/>
    </row>
    <row r="862" spans="1:1" ht="14.25" customHeight="1">
      <c r="A862" s="9"/>
    </row>
    <row r="863" spans="1:1" ht="14.25" customHeight="1">
      <c r="A863" s="9"/>
    </row>
    <row r="864" spans="1:1" ht="14.25" customHeight="1">
      <c r="A864" s="9"/>
    </row>
    <row r="865" spans="1:1" ht="14.25" customHeight="1">
      <c r="A865" s="9"/>
    </row>
    <row r="866" spans="1:1" ht="14.25" customHeight="1">
      <c r="A866" s="9"/>
    </row>
    <row r="867" spans="1:1" ht="14.25" customHeight="1">
      <c r="A867" s="9"/>
    </row>
    <row r="868" spans="1:1" ht="14.25" customHeight="1">
      <c r="A868" s="9"/>
    </row>
    <row r="869" spans="1:1" ht="14.25" customHeight="1">
      <c r="A869" s="9"/>
    </row>
    <row r="870" spans="1:1" ht="14.25" customHeight="1">
      <c r="A870" s="9"/>
    </row>
    <row r="871" spans="1:1" ht="14.25" customHeight="1">
      <c r="A871" s="9"/>
    </row>
    <row r="872" spans="1:1" ht="14.25" customHeight="1">
      <c r="A872" s="9"/>
    </row>
    <row r="873" spans="1:1" ht="14.25" customHeight="1">
      <c r="A873" s="9"/>
    </row>
    <row r="874" spans="1:1" ht="14.25" customHeight="1">
      <c r="A874" s="9"/>
    </row>
    <row r="875" spans="1:1" ht="14.25" customHeight="1">
      <c r="A875" s="9"/>
    </row>
    <row r="876" spans="1:1" ht="14.25" customHeight="1">
      <c r="A876" s="9"/>
    </row>
    <row r="877" spans="1:1" ht="14.25" customHeight="1">
      <c r="A877" s="9"/>
    </row>
    <row r="878" spans="1:1" ht="14.25" customHeight="1">
      <c r="A878" s="9"/>
    </row>
    <row r="879" spans="1:1" ht="14.25" customHeight="1">
      <c r="A879" s="9"/>
    </row>
    <row r="880" spans="1:1" ht="14.25" customHeight="1">
      <c r="A880" s="9"/>
    </row>
    <row r="881" spans="1:1" ht="14.25" customHeight="1">
      <c r="A881" s="9"/>
    </row>
    <row r="882" spans="1:1" ht="14.25" customHeight="1">
      <c r="A882" s="9"/>
    </row>
    <row r="883" spans="1:1" ht="14.25" customHeight="1">
      <c r="A883" s="9"/>
    </row>
    <row r="884" spans="1:1" ht="14.25" customHeight="1">
      <c r="A884" s="9"/>
    </row>
    <row r="885" spans="1:1" ht="14.25" customHeight="1">
      <c r="A885" s="9"/>
    </row>
    <row r="886" spans="1:1" ht="14.25" customHeight="1">
      <c r="A886" s="9"/>
    </row>
    <row r="887" spans="1:1" ht="14.25" customHeight="1">
      <c r="A887" s="9"/>
    </row>
    <row r="888" spans="1:1" ht="14.25" customHeight="1">
      <c r="A888" s="9"/>
    </row>
    <row r="889" spans="1:1" ht="14.25" customHeight="1">
      <c r="A889" s="9"/>
    </row>
    <row r="890" spans="1:1" ht="14.25" customHeight="1">
      <c r="A890" s="9"/>
    </row>
    <row r="891" spans="1:1" ht="14.25" customHeight="1">
      <c r="A891" s="9"/>
    </row>
    <row r="892" spans="1:1" ht="14.25" customHeight="1">
      <c r="A892" s="9"/>
    </row>
    <row r="893" spans="1:1" ht="14.25" customHeight="1">
      <c r="A893" s="9"/>
    </row>
    <row r="894" spans="1:1" ht="14.25" customHeight="1">
      <c r="A894" s="9"/>
    </row>
    <row r="895" spans="1:1" ht="14.25" customHeight="1">
      <c r="A895" s="9"/>
    </row>
    <row r="896" spans="1:1" ht="14.25" customHeight="1">
      <c r="A896" s="9"/>
    </row>
    <row r="897" spans="1:1" ht="14.25" customHeight="1">
      <c r="A897" s="9"/>
    </row>
    <row r="898" spans="1:1" ht="14.25" customHeight="1">
      <c r="A898" s="9"/>
    </row>
    <row r="899" spans="1:1" ht="14.25" customHeight="1">
      <c r="A899" s="9"/>
    </row>
    <row r="900" spans="1:1" ht="14.25" customHeight="1">
      <c r="A900" s="9"/>
    </row>
    <row r="901" spans="1:1" ht="14.25" customHeight="1">
      <c r="A901" s="9"/>
    </row>
    <row r="902" spans="1:1" ht="14.25" customHeight="1">
      <c r="A902" s="9"/>
    </row>
    <row r="903" spans="1:1" ht="14.25" customHeight="1">
      <c r="A903" s="9"/>
    </row>
    <row r="904" spans="1:1" ht="14.25" customHeight="1">
      <c r="A904" s="9"/>
    </row>
    <row r="905" spans="1:1" ht="14.25" customHeight="1">
      <c r="A905" s="9"/>
    </row>
    <row r="906" spans="1:1" ht="14.25" customHeight="1">
      <c r="A906" s="9"/>
    </row>
    <row r="907" spans="1:1" ht="14.25" customHeight="1">
      <c r="A907" s="9"/>
    </row>
    <row r="908" spans="1:1" ht="14.25" customHeight="1">
      <c r="A908" s="9"/>
    </row>
    <row r="909" spans="1:1" ht="14.25" customHeight="1">
      <c r="A909" s="9"/>
    </row>
    <row r="910" spans="1:1" ht="14.25" customHeight="1">
      <c r="A910" s="9"/>
    </row>
    <row r="911" spans="1:1" ht="14.25" customHeight="1">
      <c r="A911" s="9"/>
    </row>
    <row r="912" spans="1:1" ht="14.25" customHeight="1">
      <c r="A912" s="9"/>
    </row>
    <row r="913" spans="1:1" ht="14.25" customHeight="1">
      <c r="A913" s="9"/>
    </row>
    <row r="914" spans="1:1" ht="14.25" customHeight="1">
      <c r="A914" s="9"/>
    </row>
    <row r="915" spans="1:1" ht="14.25" customHeight="1">
      <c r="A915" s="9"/>
    </row>
    <row r="916" spans="1:1" ht="14.25" customHeight="1">
      <c r="A916" s="9"/>
    </row>
    <row r="917" spans="1:1" ht="14.25" customHeight="1">
      <c r="A917" s="9"/>
    </row>
    <row r="918" spans="1:1" ht="14.25" customHeight="1">
      <c r="A918" s="9"/>
    </row>
    <row r="919" spans="1:1" ht="14.25" customHeight="1">
      <c r="A919" s="9"/>
    </row>
    <row r="920" spans="1:1" ht="14.25" customHeight="1">
      <c r="A920" s="9"/>
    </row>
    <row r="921" spans="1:1" ht="14.25" customHeight="1">
      <c r="A921" s="9"/>
    </row>
    <row r="922" spans="1:1" ht="14.25" customHeight="1">
      <c r="A922" s="9"/>
    </row>
    <row r="923" spans="1:1" ht="14.25" customHeight="1">
      <c r="A923" s="9"/>
    </row>
    <row r="924" spans="1:1" ht="14.25" customHeight="1">
      <c r="A924" s="9"/>
    </row>
    <row r="925" spans="1:1" ht="14.25" customHeight="1">
      <c r="A925" s="9"/>
    </row>
    <row r="926" spans="1:1" ht="14.25" customHeight="1">
      <c r="A926" s="9"/>
    </row>
    <row r="927" spans="1:1" ht="14.25" customHeight="1">
      <c r="A927" s="9"/>
    </row>
    <row r="928" spans="1:1" ht="14.25" customHeight="1">
      <c r="A928" s="9"/>
    </row>
    <row r="929" spans="1:1" ht="14.25" customHeight="1">
      <c r="A929" s="9"/>
    </row>
    <row r="930" spans="1:1" ht="14.25" customHeight="1">
      <c r="A930" s="9"/>
    </row>
    <row r="931" spans="1:1" ht="14.25" customHeight="1">
      <c r="A931" s="9"/>
    </row>
    <row r="932" spans="1:1" ht="14.25" customHeight="1">
      <c r="A932" s="9"/>
    </row>
    <row r="933" spans="1:1" ht="14.25" customHeight="1">
      <c r="A933" s="9"/>
    </row>
    <row r="934" spans="1:1" ht="14.25" customHeight="1">
      <c r="A934" s="9"/>
    </row>
    <row r="935" spans="1:1" ht="14.25" customHeight="1">
      <c r="A935" s="9"/>
    </row>
    <row r="936" spans="1:1" ht="14.25" customHeight="1">
      <c r="A936" s="9"/>
    </row>
    <row r="937" spans="1:1" ht="14.25" customHeight="1">
      <c r="A937" s="9"/>
    </row>
    <row r="938" spans="1:1" ht="14.25" customHeight="1">
      <c r="A938" s="9"/>
    </row>
    <row r="939" spans="1:1" ht="14.25" customHeight="1">
      <c r="A939" s="9"/>
    </row>
    <row r="940" spans="1:1" ht="14.25" customHeight="1">
      <c r="A940" s="9"/>
    </row>
    <row r="941" spans="1:1" ht="14.25" customHeight="1">
      <c r="A941" s="9"/>
    </row>
    <row r="942" spans="1:1" ht="14.25" customHeight="1">
      <c r="A942" s="9"/>
    </row>
    <row r="943" spans="1:1" ht="14.25" customHeight="1">
      <c r="A943" s="9"/>
    </row>
    <row r="944" spans="1:1" ht="14.25" customHeight="1">
      <c r="A944" s="9"/>
    </row>
    <row r="945" spans="1:1" ht="14.25" customHeight="1">
      <c r="A945" s="9"/>
    </row>
    <row r="946" spans="1:1" ht="14.25" customHeight="1">
      <c r="A946" s="9"/>
    </row>
    <row r="947" spans="1:1" ht="14.25" customHeight="1">
      <c r="A947" s="9"/>
    </row>
    <row r="948" spans="1:1" ht="14.25" customHeight="1">
      <c r="A948" s="9"/>
    </row>
    <row r="949" spans="1:1" ht="14.25" customHeight="1">
      <c r="A949" s="9"/>
    </row>
    <row r="950" spans="1:1" ht="14.25" customHeight="1">
      <c r="A950" s="9"/>
    </row>
    <row r="951" spans="1:1" ht="14.25" customHeight="1">
      <c r="A951" s="9"/>
    </row>
    <row r="952" spans="1:1" ht="14.25" customHeight="1">
      <c r="A952" s="9"/>
    </row>
    <row r="953" spans="1:1" ht="14.25" customHeight="1">
      <c r="A953" s="9"/>
    </row>
    <row r="954" spans="1:1" ht="14.25" customHeight="1">
      <c r="A954" s="9"/>
    </row>
    <row r="955" spans="1:1" ht="14.25" customHeight="1">
      <c r="A955" s="9"/>
    </row>
    <row r="956" spans="1:1" ht="14.25" customHeight="1">
      <c r="A956" s="9"/>
    </row>
    <row r="957" spans="1:1" ht="14.25" customHeight="1">
      <c r="A957" s="9"/>
    </row>
    <row r="958" spans="1:1" ht="14.25" customHeight="1">
      <c r="A958" s="9"/>
    </row>
    <row r="959" spans="1:1" ht="14.25" customHeight="1">
      <c r="A959" s="9"/>
    </row>
    <row r="960" spans="1:1" ht="14.25" customHeight="1">
      <c r="A960" s="9"/>
    </row>
    <row r="961" spans="1:1" ht="14.25" customHeight="1">
      <c r="A961" s="9"/>
    </row>
    <row r="962" spans="1:1" ht="14.25" customHeight="1">
      <c r="A962" s="9"/>
    </row>
    <row r="963" spans="1:1" ht="14.25" customHeight="1">
      <c r="A963" s="9"/>
    </row>
    <row r="964" spans="1:1" ht="14.25" customHeight="1">
      <c r="A964" s="9"/>
    </row>
    <row r="965" spans="1:1" ht="14.25" customHeight="1">
      <c r="A965" s="9"/>
    </row>
    <row r="966" spans="1:1" ht="14.25" customHeight="1">
      <c r="A966" s="9"/>
    </row>
    <row r="967" spans="1:1" ht="14.25" customHeight="1">
      <c r="A967" s="9"/>
    </row>
    <row r="968" spans="1:1" ht="14.25" customHeight="1">
      <c r="A968" s="9"/>
    </row>
    <row r="969" spans="1:1" ht="14.25" customHeight="1">
      <c r="A969" s="9"/>
    </row>
    <row r="970" spans="1:1" ht="14.25" customHeight="1">
      <c r="A970" s="9"/>
    </row>
    <row r="971" spans="1:1" ht="14.25" customHeight="1">
      <c r="A971" s="9"/>
    </row>
    <row r="972" spans="1:1" ht="14.25" customHeight="1">
      <c r="A972" s="9"/>
    </row>
    <row r="973" spans="1:1" ht="14.25" customHeight="1">
      <c r="A973" s="9"/>
    </row>
    <row r="974" spans="1:1" ht="14.25" customHeight="1">
      <c r="A974" s="9"/>
    </row>
    <row r="975" spans="1:1" ht="14.25" customHeight="1">
      <c r="A975" s="9"/>
    </row>
    <row r="976" spans="1:1" ht="14.25" customHeight="1">
      <c r="A976" s="9"/>
    </row>
    <row r="977" spans="1:1" ht="14.25" customHeight="1">
      <c r="A977" s="9"/>
    </row>
    <row r="978" spans="1:1" ht="14.25" customHeight="1">
      <c r="A978" s="9"/>
    </row>
    <row r="979" spans="1:1" ht="14.25" customHeight="1">
      <c r="A979" s="9"/>
    </row>
    <row r="980" spans="1:1" ht="14.25" customHeight="1">
      <c r="A980" s="9"/>
    </row>
    <row r="981" spans="1:1" ht="14.25" customHeight="1">
      <c r="A981" s="9"/>
    </row>
    <row r="982" spans="1:1" ht="14.25" customHeight="1">
      <c r="A982" s="9"/>
    </row>
    <row r="983" spans="1:1" ht="14.25" customHeight="1">
      <c r="A983" s="9"/>
    </row>
    <row r="984" spans="1:1" ht="14.25" customHeight="1">
      <c r="A984" s="9"/>
    </row>
    <row r="985" spans="1:1" ht="14.25" customHeight="1">
      <c r="A985" s="9"/>
    </row>
    <row r="986" spans="1:1" ht="14.25" customHeight="1">
      <c r="A986" s="9"/>
    </row>
    <row r="987" spans="1:1" ht="14.25" customHeight="1">
      <c r="A987" s="9"/>
    </row>
    <row r="988" spans="1:1" ht="14.25" customHeight="1">
      <c r="A988" s="9"/>
    </row>
    <row r="989" spans="1:1" ht="14.25" customHeight="1">
      <c r="A989" s="9"/>
    </row>
    <row r="990" spans="1:1" ht="14.25" customHeight="1">
      <c r="A990" s="9"/>
    </row>
    <row r="991" spans="1:1" ht="14.25" customHeight="1">
      <c r="A991" s="9"/>
    </row>
    <row r="992" spans="1:1" ht="14.25" customHeight="1">
      <c r="A992" s="9"/>
    </row>
    <row r="993" spans="1:1" ht="14.25" customHeight="1">
      <c r="A993" s="9"/>
    </row>
    <row r="994" spans="1:1" ht="14.25" customHeight="1">
      <c r="A994" s="9"/>
    </row>
    <row r="995" spans="1:1" ht="14.25" customHeight="1">
      <c r="A995" s="9"/>
    </row>
    <row r="996" spans="1:1" ht="14.25" customHeight="1">
      <c r="A996" s="9"/>
    </row>
    <row r="997" spans="1:1" ht="14.25" customHeight="1">
      <c r="A997" s="9"/>
    </row>
    <row r="998" spans="1:1" ht="14.25" customHeight="1">
      <c r="A998" s="9"/>
    </row>
    <row r="999" spans="1:1" ht="14.25" customHeight="1">
      <c r="A999" s="9"/>
    </row>
    <row r="1000" spans="1:1" ht="14.25" customHeight="1">
      <c r="A1000" s="9"/>
    </row>
  </sheetData>
  <mergeCells count="2">
    <mergeCell ref="A3:I3"/>
    <mergeCell ref="K9:K11"/>
  </mergeCells>
  <printOptions horizontalCentered="1"/>
  <pageMargins left="0.98425196850393704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impanPDFMasalSatuFile">
                <anchor>
                  <from>
                    <xdr:col>12</xdr:col>
                    <xdr:colOff>161925</xdr:colOff>
                    <xdr:row>4</xdr:row>
                    <xdr:rowOff>19050</xdr:rowOff>
                  </from>
                  <to>
                    <xdr:col>15</xdr:col>
                    <xdr:colOff>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etakRaportMasal">
                <anchor>
                  <from>
                    <xdr:col>12</xdr:col>
                    <xdr:colOff>161925</xdr:colOff>
                    <xdr:row>6</xdr:row>
                    <xdr:rowOff>38100</xdr:rowOff>
                  </from>
                  <to>
                    <xdr:col>16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4"/>
  <dimension ref="A1:U1000"/>
  <sheetViews>
    <sheetView workbookViewId="0">
      <pane xSplit="3" ySplit="4" topLeftCell="G5" activePane="bottomRight" state="frozen"/>
      <selection pane="topRight" activeCell="D1" sqref="D1"/>
      <selection pane="bottomLeft" activeCell="A5" sqref="A5"/>
      <selection pane="bottomRight" activeCell="G12" sqref="G12"/>
    </sheetView>
  </sheetViews>
  <sheetFormatPr defaultColWidth="14.42578125" defaultRowHeight="15" customHeight="1"/>
  <cols>
    <col min="1" max="1" width="4.85546875" customWidth="1"/>
    <col min="2" max="2" width="8.7109375" customWidth="1"/>
    <col min="3" max="3" width="28" customWidth="1"/>
    <col min="4" max="8" width="11.5703125" customWidth="1"/>
    <col min="9" max="9" width="12.28515625" customWidth="1"/>
    <col min="10" max="10" width="12.140625" customWidth="1"/>
    <col min="11" max="12" width="11.5703125" customWidth="1"/>
    <col min="13" max="15" width="8.7109375" customWidth="1"/>
    <col min="16" max="16" width="14.7109375" customWidth="1"/>
    <col min="17" max="17" width="8.7109375" customWidth="1"/>
    <col min="18" max="18" width="10.85546875" customWidth="1"/>
    <col min="19" max="19" width="8.7109375" customWidth="1"/>
    <col min="20" max="20" width="8.5703125" customWidth="1"/>
    <col min="21" max="26" width="8.7109375" customWidth="1"/>
  </cols>
  <sheetData>
    <row r="1" spans="1:21" ht="14.25" customHeight="1">
      <c r="A1" s="132" t="s">
        <v>148</v>
      </c>
      <c r="B1" s="132" t="s">
        <v>149</v>
      </c>
      <c r="C1" s="132" t="s">
        <v>109</v>
      </c>
      <c r="D1" s="133" t="s">
        <v>1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99"/>
      <c r="Q1" s="132" t="s">
        <v>150</v>
      </c>
      <c r="R1" s="132" t="s">
        <v>151</v>
      </c>
      <c r="S1" s="132" t="s">
        <v>152</v>
      </c>
      <c r="T1" s="130" t="s">
        <v>153</v>
      </c>
      <c r="U1" s="130" t="s">
        <v>154</v>
      </c>
    </row>
    <row r="2" spans="1:21" ht="14.25" customHeight="1">
      <c r="A2" s="102"/>
      <c r="B2" s="102"/>
      <c r="C2" s="102"/>
      <c r="D2" s="31">
        <v>1</v>
      </c>
      <c r="E2" s="31">
        <v>2</v>
      </c>
      <c r="F2" s="31">
        <v>3</v>
      </c>
      <c r="G2" s="31">
        <v>4</v>
      </c>
      <c r="H2" s="31">
        <v>5</v>
      </c>
      <c r="I2" s="31">
        <v>6</v>
      </c>
      <c r="J2" s="31">
        <v>7</v>
      </c>
      <c r="K2" s="31">
        <v>8</v>
      </c>
      <c r="L2" s="31">
        <v>9</v>
      </c>
      <c r="M2" s="31">
        <v>10</v>
      </c>
      <c r="N2" s="32">
        <v>11</v>
      </c>
      <c r="O2" s="32">
        <v>12</v>
      </c>
      <c r="P2" s="32">
        <v>13</v>
      </c>
      <c r="Q2" s="102"/>
      <c r="R2" s="102"/>
      <c r="S2" s="102"/>
      <c r="T2" s="102"/>
      <c r="U2" s="102"/>
    </row>
    <row r="3" spans="1:21" ht="14.25" customHeight="1">
      <c r="A3" s="103"/>
      <c r="B3" s="103"/>
      <c r="C3" s="103"/>
      <c r="D3" s="33" t="str">
        <f>IF(OR(IDENTITAS!F2="",IDENTITAS!F2=0),"",IDENTITAS!F2)</f>
        <v>AL QUR'AN</v>
      </c>
      <c r="E3" s="33" t="str">
        <f>IF(OR(IDENTITAS!F3="",IDENTITAS!F3=0),"",IDENTITAS!F3)</f>
        <v>AL HADITS</v>
      </c>
      <c r="F3" s="33" t="str">
        <f>IF(OR(IDENTITAS!F4="",IDENTITAS!F4=0),"",IDENTITAS!F4)</f>
        <v>AQIDAH</v>
      </c>
      <c r="G3" s="33" t="str">
        <f>IF(OR(IDENTITAS!F5="",IDENTITAS!F5=0),"",IDENTITAS!F5)</f>
        <v>AKHLAQ</v>
      </c>
      <c r="H3" s="33" t="str">
        <f>IF(OR(IDENTITAS!F6="",IDENTITAS!F6=0),"",IDENTITAS!F6)</f>
        <v>FIQIH</v>
      </c>
      <c r="I3" s="33" t="str">
        <f>IF(OR(IDENTITAS!F7="",IDENTITAS!F7=0),"",IDENTITAS!F7)</f>
        <v>TARIKH ISLAM</v>
      </c>
      <c r="J3" s="33" t="str">
        <f>IF(OR(IDENTITAS!F8="",IDENTITAS!F8=0),"",IDENTITAS!F8)</f>
        <v>BAHASA ARAB</v>
      </c>
      <c r="K3" s="33" t="str">
        <f>IF(OR(IDENTITAS!F9="",IDENTITAS!F9=0),"",IDENTITAS!F9)</f>
        <v>NAHWU</v>
      </c>
      <c r="L3" s="33" t="str">
        <f>IF(OR(IDENTITAS!F10="",IDENTITAS!F10=0),"",IDENTITAS!F10)</f>
        <v>SHARAF</v>
      </c>
      <c r="M3" s="33" t="str">
        <f>IF(OR(IDENTITAS!F11="",IDENTITAS!F11=0),"",IDENTITAS!F11)</f>
        <v/>
      </c>
      <c r="N3" s="33" t="str">
        <f>IF(OR(IDENTITAS!F12="",IDENTITAS!F12=0),"",IDENTITAS!F12)</f>
        <v>PRAKTIK IBADAH</v>
      </c>
      <c r="O3" s="33" t="str">
        <f>IF(OR(IDENTITAS!F13="",IDENTITAS!F13=0),"",IDENTITAS!F13)</f>
        <v>BTQ</v>
      </c>
      <c r="P3" s="33" t="str">
        <f>IF(OR(IDENTITAS!F14="",IDENTITAS!F14=0),"",IDENTITAS!F14)</f>
        <v>Ke-NU-an</v>
      </c>
      <c r="Q3" s="103"/>
      <c r="R3" s="103"/>
      <c r="S3" s="103"/>
      <c r="T3" s="103"/>
      <c r="U3" s="103"/>
    </row>
    <row r="4" spans="1:21" ht="8.25" customHeight="1">
      <c r="A4" s="12">
        <v>1</v>
      </c>
      <c r="B4" s="12">
        <v>2</v>
      </c>
      <c r="C4" s="12">
        <v>3</v>
      </c>
      <c r="D4" s="12">
        <v>4</v>
      </c>
      <c r="E4" s="12">
        <v>5</v>
      </c>
      <c r="F4" s="12">
        <v>6</v>
      </c>
      <c r="G4" s="12">
        <v>7</v>
      </c>
      <c r="H4" s="12">
        <v>8</v>
      </c>
      <c r="I4" s="12">
        <v>9</v>
      </c>
      <c r="J4" s="12">
        <v>10</v>
      </c>
      <c r="K4" s="12">
        <v>11</v>
      </c>
      <c r="L4" s="12">
        <v>12</v>
      </c>
      <c r="M4" s="12">
        <v>13</v>
      </c>
      <c r="N4" s="12">
        <v>14</v>
      </c>
      <c r="O4" s="12">
        <v>15</v>
      </c>
      <c r="P4" s="12">
        <v>16</v>
      </c>
      <c r="Q4" s="12">
        <v>17</v>
      </c>
      <c r="R4" s="12">
        <v>18</v>
      </c>
      <c r="S4" s="12">
        <v>19</v>
      </c>
      <c r="T4" s="12">
        <v>20</v>
      </c>
      <c r="U4" s="12">
        <v>21</v>
      </c>
    </row>
    <row r="5" spans="1:21" ht="14.25" customHeight="1">
      <c r="A5" s="34">
        <f>IF(ISBLANK(IDENTITAS!A21),"",IDENTITAS!A21)</f>
        <v>1</v>
      </c>
      <c r="B5" s="34">
        <f>IF(ISBLANK(IDENTITAS!B21),"",IDENTITAS!B21)</f>
        <v>2345</v>
      </c>
      <c r="C5" s="35" t="str">
        <f>IF(ISBLANK(IDENTITAS!C21),"",IDENTITAS!C21)</f>
        <v>SANTRI 1</v>
      </c>
      <c r="D5" s="17">
        <v>100</v>
      </c>
      <c r="E5" s="17">
        <v>90</v>
      </c>
      <c r="F5" s="17">
        <v>87</v>
      </c>
      <c r="G5" s="17">
        <v>95</v>
      </c>
      <c r="H5" s="17">
        <v>85</v>
      </c>
      <c r="I5" s="17">
        <v>78</v>
      </c>
      <c r="J5" s="17">
        <v>88</v>
      </c>
      <c r="K5" s="17">
        <v>80</v>
      </c>
      <c r="L5" s="17">
        <v>82</v>
      </c>
      <c r="M5" s="17"/>
      <c r="N5" s="17">
        <v>85</v>
      </c>
      <c r="O5" s="17">
        <v>80</v>
      </c>
      <c r="P5" s="17">
        <v>77</v>
      </c>
      <c r="Q5" s="36">
        <f t="shared" ref="Q5:Q104" si="0">IF(ISBLANK(D5),"",SUM(D5:P5))</f>
        <v>1027</v>
      </c>
      <c r="R5" s="36">
        <f t="shared" ref="R5:R104" si="1">IF(ISBLANK(D5),"",ROUND(AVERAGE(D5:P5),2))</f>
        <v>85.58</v>
      </c>
      <c r="S5" s="36">
        <f t="shared" ref="S5:S104" si="2">IF(Q5="","",RANK(Q5,Q$5:Q$104,0))</f>
        <v>1</v>
      </c>
      <c r="T5" s="17">
        <v>5</v>
      </c>
      <c r="U5" s="17"/>
    </row>
    <row r="6" spans="1:21" ht="14.25" customHeight="1">
      <c r="A6" s="34">
        <f>IF(ISBLANK(IDENTITAS!A22),"",IDENTITAS!A22)</f>
        <v>2</v>
      </c>
      <c r="B6" s="34">
        <f>IF(ISBLANK(IDENTITAS!B22),"",IDENTITAS!B22)</f>
        <v>2346</v>
      </c>
      <c r="C6" s="35" t="str">
        <f>IF(ISBLANK(IDENTITAS!C22),"",IDENTITAS!C22)</f>
        <v>SANTRI 2</v>
      </c>
      <c r="D6" s="17">
        <v>70</v>
      </c>
      <c r="E6" s="17">
        <v>70</v>
      </c>
      <c r="F6" s="17">
        <v>80</v>
      </c>
      <c r="G6" s="17">
        <v>84</v>
      </c>
      <c r="H6" s="17">
        <v>79</v>
      </c>
      <c r="I6" s="17">
        <v>83</v>
      </c>
      <c r="J6" s="17">
        <v>84</v>
      </c>
      <c r="K6" s="17">
        <v>79</v>
      </c>
      <c r="L6" s="17">
        <v>75</v>
      </c>
      <c r="M6" s="17"/>
      <c r="N6" s="17">
        <v>90</v>
      </c>
      <c r="O6" s="17">
        <v>77</v>
      </c>
      <c r="P6" s="17">
        <v>80</v>
      </c>
      <c r="Q6" s="36">
        <f t="shared" si="0"/>
        <v>951</v>
      </c>
      <c r="R6" s="36">
        <f t="shared" si="1"/>
        <v>79.25</v>
      </c>
      <c r="S6" s="36">
        <f t="shared" si="2"/>
        <v>3</v>
      </c>
      <c r="T6" s="17" t="s">
        <v>155</v>
      </c>
      <c r="U6" s="17"/>
    </row>
    <row r="7" spans="1:21" ht="14.25" customHeight="1">
      <c r="A7" s="34">
        <f>IF(ISBLANK(IDENTITAS!A23),"",IDENTITAS!A23)</f>
        <v>3</v>
      </c>
      <c r="B7" s="34">
        <f>IF(ISBLANK(IDENTITAS!B23),"",IDENTITAS!B23)</f>
        <v>2347</v>
      </c>
      <c r="C7" s="35" t="str">
        <f>IF(ISBLANK(IDENTITAS!C23),"",IDENTITAS!C23)</f>
        <v>SANTRI 3</v>
      </c>
      <c r="D7" s="17">
        <v>67</v>
      </c>
      <c r="E7" s="17">
        <v>80</v>
      </c>
      <c r="F7" s="17">
        <v>74</v>
      </c>
      <c r="G7" s="17">
        <v>85</v>
      </c>
      <c r="H7" s="17">
        <v>78</v>
      </c>
      <c r="I7" s="17">
        <v>81</v>
      </c>
      <c r="J7" s="17">
        <v>80</v>
      </c>
      <c r="K7" s="17">
        <v>79</v>
      </c>
      <c r="L7" s="17">
        <v>77</v>
      </c>
      <c r="M7" s="17"/>
      <c r="N7" s="17">
        <v>80</v>
      </c>
      <c r="O7" s="17">
        <v>75</v>
      </c>
      <c r="P7" s="17">
        <v>85</v>
      </c>
      <c r="Q7" s="36">
        <f t="shared" si="0"/>
        <v>941</v>
      </c>
      <c r="R7" s="36">
        <f t="shared" si="1"/>
        <v>78.42</v>
      </c>
      <c r="S7" s="36">
        <f t="shared" si="2"/>
        <v>4</v>
      </c>
      <c r="T7" s="17"/>
      <c r="U7" s="17">
        <v>1</v>
      </c>
    </row>
    <row r="8" spans="1:21" ht="14.25" customHeight="1">
      <c r="A8" s="34">
        <f>IF(ISBLANK(IDENTITAS!A24),"",IDENTITAS!A24)</f>
        <v>4</v>
      </c>
      <c r="B8" s="34">
        <f>IF(ISBLANK(IDENTITAS!B24),"",IDENTITAS!B24)</f>
        <v>2348</v>
      </c>
      <c r="C8" s="35" t="str">
        <f>IF(ISBLANK(IDENTITAS!C24),"",IDENTITAS!C24)</f>
        <v>SANTRI 4</v>
      </c>
      <c r="D8" s="17">
        <v>90</v>
      </c>
      <c r="E8" s="17">
        <v>87</v>
      </c>
      <c r="F8" s="17">
        <v>73</v>
      </c>
      <c r="G8" s="17">
        <v>90</v>
      </c>
      <c r="H8" s="17">
        <v>80</v>
      </c>
      <c r="I8" s="17">
        <v>85</v>
      </c>
      <c r="J8" s="17">
        <v>85</v>
      </c>
      <c r="K8" s="17">
        <v>80</v>
      </c>
      <c r="L8" s="17">
        <v>83</v>
      </c>
      <c r="M8" s="17"/>
      <c r="N8" s="17">
        <v>70</v>
      </c>
      <c r="O8" s="17">
        <v>70</v>
      </c>
      <c r="P8" s="17">
        <v>70</v>
      </c>
      <c r="Q8" s="36">
        <f t="shared" si="0"/>
        <v>963</v>
      </c>
      <c r="R8" s="36">
        <f t="shared" si="1"/>
        <v>80.25</v>
      </c>
      <c r="S8" s="36">
        <f t="shared" si="2"/>
        <v>2</v>
      </c>
      <c r="T8" s="17">
        <v>3</v>
      </c>
      <c r="U8" s="17"/>
    </row>
    <row r="9" spans="1:21" ht="14.25" customHeight="1">
      <c r="A9" s="34">
        <f>IF(ISBLANK(IDENTITAS!A25),"",IDENTITAS!A25)</f>
        <v>5</v>
      </c>
      <c r="B9" s="34">
        <f>IF(ISBLANK(IDENTITAS!B25),"",IDENTITAS!B25)</f>
        <v>2349</v>
      </c>
      <c r="C9" s="35" t="str">
        <f>IF(ISBLANK(IDENTITAS!C25),"",IDENTITAS!C25)</f>
        <v>SANTRI 5</v>
      </c>
      <c r="D9" s="17">
        <v>67</v>
      </c>
      <c r="E9" s="17">
        <v>70</v>
      </c>
      <c r="F9" s="17">
        <v>73</v>
      </c>
      <c r="G9" s="17">
        <v>84</v>
      </c>
      <c r="H9" s="17">
        <v>78</v>
      </c>
      <c r="I9" s="17">
        <v>81</v>
      </c>
      <c r="J9" s="17">
        <v>80</v>
      </c>
      <c r="K9" s="17">
        <v>79</v>
      </c>
      <c r="L9" s="17">
        <v>68</v>
      </c>
      <c r="M9" s="17"/>
      <c r="N9" s="17">
        <v>85</v>
      </c>
      <c r="O9" s="17">
        <v>74</v>
      </c>
      <c r="P9" s="17">
        <v>65</v>
      </c>
      <c r="Q9" s="36">
        <f t="shared" si="0"/>
        <v>904</v>
      </c>
      <c r="R9" s="36">
        <f t="shared" si="1"/>
        <v>75.33</v>
      </c>
      <c r="S9" s="36">
        <f t="shared" si="2"/>
        <v>5</v>
      </c>
      <c r="T9" s="17">
        <v>4</v>
      </c>
      <c r="U9" s="17"/>
    </row>
    <row r="10" spans="1:21" ht="14.25" customHeight="1">
      <c r="A10" s="34" t="str">
        <f>IF(ISBLANK(IDENTITAS!A26),"",IDENTITAS!A26)</f>
        <v/>
      </c>
      <c r="B10" s="34" t="str">
        <f>IF(ISBLANK(IDENTITAS!B26),"",IDENTITAS!B26)</f>
        <v/>
      </c>
      <c r="C10" s="35" t="str">
        <f>IF(ISBLANK(IDENTITAS!C26),"",IDENTITAS!C26)</f>
        <v/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36" t="str">
        <f t="shared" si="0"/>
        <v/>
      </c>
      <c r="R10" s="36" t="str">
        <f t="shared" si="1"/>
        <v/>
      </c>
      <c r="S10" s="36" t="str">
        <f t="shared" si="2"/>
        <v/>
      </c>
      <c r="T10" s="17"/>
      <c r="U10" s="17"/>
    </row>
    <row r="11" spans="1:21" ht="14.25" customHeight="1">
      <c r="A11" s="34" t="str">
        <f>IF(ISBLANK(IDENTITAS!A27),"",IDENTITAS!A27)</f>
        <v/>
      </c>
      <c r="B11" s="34" t="str">
        <f>IF(ISBLANK(IDENTITAS!B27),"",IDENTITAS!B27)</f>
        <v/>
      </c>
      <c r="C11" s="35" t="str">
        <f>IF(ISBLANK(IDENTITAS!C27),"",IDENTITAS!C27)</f>
        <v/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36" t="str">
        <f t="shared" si="0"/>
        <v/>
      </c>
      <c r="R11" s="36" t="str">
        <f t="shared" si="1"/>
        <v/>
      </c>
      <c r="S11" s="36" t="str">
        <f t="shared" si="2"/>
        <v/>
      </c>
      <c r="T11" s="17"/>
      <c r="U11" s="17"/>
    </row>
    <row r="12" spans="1:21" ht="14.25" customHeight="1">
      <c r="A12" s="34" t="str">
        <f>IF(ISBLANK(IDENTITAS!A28),"",IDENTITAS!A28)</f>
        <v/>
      </c>
      <c r="B12" s="34" t="str">
        <f>IF(ISBLANK(IDENTITAS!B28),"",IDENTITAS!B28)</f>
        <v/>
      </c>
      <c r="C12" s="35" t="str">
        <f>IF(ISBLANK(IDENTITAS!C28),"",IDENTITAS!C28)</f>
        <v/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36" t="str">
        <f t="shared" si="0"/>
        <v/>
      </c>
      <c r="R12" s="36" t="str">
        <f t="shared" si="1"/>
        <v/>
      </c>
      <c r="S12" s="36" t="str">
        <f t="shared" si="2"/>
        <v/>
      </c>
      <c r="T12" s="17"/>
      <c r="U12" s="17"/>
    </row>
    <row r="13" spans="1:21" ht="14.25" customHeight="1">
      <c r="A13" s="34" t="str">
        <f>IF(ISBLANK(IDENTITAS!A29),"",IDENTITAS!A29)</f>
        <v/>
      </c>
      <c r="B13" s="34" t="str">
        <f>IF(ISBLANK(IDENTITAS!B29),"",IDENTITAS!B29)</f>
        <v/>
      </c>
      <c r="C13" s="35" t="str">
        <f>IF(ISBLANK(IDENTITAS!C29),"",IDENTITAS!C29)</f>
        <v/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36" t="str">
        <f t="shared" si="0"/>
        <v/>
      </c>
      <c r="R13" s="36" t="str">
        <f t="shared" si="1"/>
        <v/>
      </c>
      <c r="S13" s="36" t="str">
        <f t="shared" si="2"/>
        <v/>
      </c>
      <c r="T13" s="17"/>
      <c r="U13" s="17"/>
    </row>
    <row r="14" spans="1:21" ht="14.25" customHeight="1">
      <c r="A14" s="34" t="str">
        <f>IF(ISBLANK(IDENTITAS!A30),"",IDENTITAS!A30)</f>
        <v/>
      </c>
      <c r="B14" s="34" t="str">
        <f>IF(ISBLANK(IDENTITAS!B30),"",IDENTITAS!B30)</f>
        <v/>
      </c>
      <c r="C14" s="35" t="str">
        <f>IF(ISBLANK(IDENTITAS!C30),"",IDENTITAS!C30)</f>
        <v/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36" t="str">
        <f t="shared" si="0"/>
        <v/>
      </c>
      <c r="R14" s="36" t="str">
        <f t="shared" si="1"/>
        <v/>
      </c>
      <c r="S14" s="36" t="str">
        <f t="shared" si="2"/>
        <v/>
      </c>
      <c r="T14" s="17"/>
      <c r="U14" s="17"/>
    </row>
    <row r="15" spans="1:21" ht="14.25" customHeight="1">
      <c r="A15" s="34" t="str">
        <f>IF(ISBLANK(IDENTITAS!A31),"",IDENTITAS!A31)</f>
        <v/>
      </c>
      <c r="B15" s="34" t="str">
        <f>IF(ISBLANK(IDENTITAS!B31),"",IDENTITAS!B31)</f>
        <v/>
      </c>
      <c r="C15" s="35" t="str">
        <f>IF(ISBLANK(IDENTITAS!C31),"",IDENTITAS!C31)</f>
        <v/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36" t="str">
        <f t="shared" si="0"/>
        <v/>
      </c>
      <c r="R15" s="36" t="str">
        <f t="shared" si="1"/>
        <v/>
      </c>
      <c r="S15" s="36" t="str">
        <f t="shared" si="2"/>
        <v/>
      </c>
      <c r="T15" s="17"/>
      <c r="U15" s="17"/>
    </row>
    <row r="16" spans="1:21" ht="14.25" customHeight="1">
      <c r="A16" s="34" t="str">
        <f>IF(ISBLANK(IDENTITAS!A32),"",IDENTITAS!A32)</f>
        <v/>
      </c>
      <c r="B16" s="34" t="str">
        <f>IF(ISBLANK(IDENTITAS!B32),"",IDENTITAS!B32)</f>
        <v/>
      </c>
      <c r="C16" s="35" t="str">
        <f>IF(ISBLANK(IDENTITAS!C32),"",IDENTITAS!C32)</f>
        <v/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36" t="str">
        <f t="shared" si="0"/>
        <v/>
      </c>
      <c r="R16" s="36" t="str">
        <f t="shared" si="1"/>
        <v/>
      </c>
      <c r="S16" s="36" t="str">
        <f t="shared" si="2"/>
        <v/>
      </c>
      <c r="T16" s="17"/>
      <c r="U16" s="17"/>
    </row>
    <row r="17" spans="1:21" ht="14.25" customHeight="1">
      <c r="A17" s="34" t="str">
        <f>IF(ISBLANK(IDENTITAS!A33),"",IDENTITAS!A33)</f>
        <v/>
      </c>
      <c r="B17" s="34" t="str">
        <f>IF(ISBLANK(IDENTITAS!B33),"",IDENTITAS!B33)</f>
        <v/>
      </c>
      <c r="C17" s="35" t="str">
        <f>IF(ISBLANK(IDENTITAS!C33),"",IDENTITAS!C33)</f>
        <v/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36" t="str">
        <f t="shared" si="0"/>
        <v/>
      </c>
      <c r="R17" s="36" t="str">
        <f t="shared" si="1"/>
        <v/>
      </c>
      <c r="S17" s="36" t="str">
        <f t="shared" si="2"/>
        <v/>
      </c>
      <c r="T17" s="17"/>
      <c r="U17" s="17"/>
    </row>
    <row r="18" spans="1:21" ht="14.25" customHeight="1">
      <c r="A18" s="34" t="str">
        <f>IF(ISBLANK(IDENTITAS!A34),"",IDENTITAS!A34)</f>
        <v/>
      </c>
      <c r="B18" s="34" t="str">
        <f>IF(ISBLANK(IDENTITAS!B34),"",IDENTITAS!B34)</f>
        <v/>
      </c>
      <c r="C18" s="35" t="str">
        <f>IF(ISBLANK(IDENTITAS!C34),"",IDENTITAS!C34)</f>
        <v/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36" t="str">
        <f t="shared" si="0"/>
        <v/>
      </c>
      <c r="R18" s="36" t="str">
        <f t="shared" si="1"/>
        <v/>
      </c>
      <c r="S18" s="36" t="str">
        <f t="shared" si="2"/>
        <v/>
      </c>
      <c r="T18" s="17"/>
      <c r="U18" s="17"/>
    </row>
    <row r="19" spans="1:21" ht="14.25" customHeight="1">
      <c r="A19" s="34" t="str">
        <f>IF(ISBLANK(IDENTITAS!A35),"",IDENTITAS!A35)</f>
        <v/>
      </c>
      <c r="B19" s="34" t="str">
        <f>IF(ISBLANK(IDENTITAS!B35),"",IDENTITAS!B35)</f>
        <v/>
      </c>
      <c r="C19" s="35" t="str">
        <f>IF(ISBLANK(IDENTITAS!C35),"",IDENTITAS!C35)</f>
        <v/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36" t="str">
        <f t="shared" si="0"/>
        <v/>
      </c>
      <c r="R19" s="36" t="str">
        <f t="shared" si="1"/>
        <v/>
      </c>
      <c r="S19" s="36" t="str">
        <f t="shared" si="2"/>
        <v/>
      </c>
      <c r="T19" s="17"/>
      <c r="U19" s="17"/>
    </row>
    <row r="20" spans="1:21" ht="14.25" customHeight="1">
      <c r="A20" s="34" t="str">
        <f>IF(ISBLANK(IDENTITAS!A36),"",IDENTITAS!A36)</f>
        <v/>
      </c>
      <c r="B20" s="34" t="str">
        <f>IF(ISBLANK(IDENTITAS!B36),"",IDENTITAS!B36)</f>
        <v/>
      </c>
      <c r="C20" s="35" t="str">
        <f>IF(ISBLANK(IDENTITAS!C36),"",IDENTITAS!C36)</f>
        <v/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36" t="str">
        <f t="shared" si="0"/>
        <v/>
      </c>
      <c r="R20" s="36" t="str">
        <f t="shared" si="1"/>
        <v/>
      </c>
      <c r="S20" s="36" t="str">
        <f t="shared" si="2"/>
        <v/>
      </c>
      <c r="T20" s="17"/>
      <c r="U20" s="17"/>
    </row>
    <row r="21" spans="1:21" ht="14.25" customHeight="1">
      <c r="A21" s="34" t="str">
        <f>IF(ISBLANK(IDENTITAS!A37),"",IDENTITAS!A37)</f>
        <v/>
      </c>
      <c r="B21" s="34" t="str">
        <f>IF(ISBLANK(IDENTITAS!B37),"",IDENTITAS!B37)</f>
        <v/>
      </c>
      <c r="C21" s="35" t="str">
        <f>IF(ISBLANK(IDENTITAS!C37),"",IDENTITAS!C37)</f>
        <v/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36" t="str">
        <f t="shared" si="0"/>
        <v/>
      </c>
      <c r="R21" s="36" t="str">
        <f t="shared" si="1"/>
        <v/>
      </c>
      <c r="S21" s="36" t="str">
        <f t="shared" si="2"/>
        <v/>
      </c>
      <c r="T21" s="17"/>
      <c r="U21" s="17"/>
    </row>
    <row r="22" spans="1:21" ht="14.25" customHeight="1">
      <c r="A22" s="34" t="str">
        <f>IF(ISBLANK(IDENTITAS!A38),"",IDENTITAS!A38)</f>
        <v/>
      </c>
      <c r="B22" s="34" t="str">
        <f>IF(ISBLANK(IDENTITAS!B38),"",IDENTITAS!B38)</f>
        <v/>
      </c>
      <c r="C22" s="35" t="str">
        <f>IF(ISBLANK(IDENTITAS!C38),"",IDENTITAS!C38)</f>
        <v/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36" t="str">
        <f t="shared" si="0"/>
        <v/>
      </c>
      <c r="R22" s="36" t="str">
        <f t="shared" si="1"/>
        <v/>
      </c>
      <c r="S22" s="36" t="str">
        <f t="shared" si="2"/>
        <v/>
      </c>
      <c r="T22" s="17"/>
      <c r="U22" s="17"/>
    </row>
    <row r="23" spans="1:21" ht="14.25" customHeight="1">
      <c r="A23" s="34" t="str">
        <f>IF(ISBLANK(IDENTITAS!A39),"",IDENTITAS!A39)</f>
        <v/>
      </c>
      <c r="B23" s="34" t="str">
        <f>IF(ISBLANK(IDENTITAS!B39),"",IDENTITAS!B39)</f>
        <v/>
      </c>
      <c r="C23" s="35" t="str">
        <f>IF(ISBLANK(IDENTITAS!C39),"",IDENTITAS!C39)</f>
        <v/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36" t="str">
        <f t="shared" si="0"/>
        <v/>
      </c>
      <c r="R23" s="36" t="str">
        <f t="shared" si="1"/>
        <v/>
      </c>
      <c r="S23" s="36" t="str">
        <f t="shared" si="2"/>
        <v/>
      </c>
      <c r="T23" s="17"/>
      <c r="U23" s="17"/>
    </row>
    <row r="24" spans="1:21" ht="14.25" customHeight="1">
      <c r="A24" s="34" t="str">
        <f>IF(ISBLANK(IDENTITAS!A40),"",IDENTITAS!A40)</f>
        <v/>
      </c>
      <c r="B24" s="34" t="str">
        <f>IF(ISBLANK(IDENTITAS!B40),"",IDENTITAS!B40)</f>
        <v/>
      </c>
      <c r="C24" s="35" t="str">
        <f>IF(ISBLANK(IDENTITAS!C40),"",IDENTITAS!C40)</f>
        <v/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36" t="str">
        <f t="shared" si="0"/>
        <v/>
      </c>
      <c r="R24" s="36" t="str">
        <f t="shared" si="1"/>
        <v/>
      </c>
      <c r="S24" s="36" t="str">
        <f t="shared" si="2"/>
        <v/>
      </c>
      <c r="T24" s="17"/>
      <c r="U24" s="17"/>
    </row>
    <row r="25" spans="1:21" ht="14.25" customHeight="1">
      <c r="A25" s="34" t="str">
        <f>IF(ISBLANK(IDENTITAS!A41),"",IDENTITAS!A41)</f>
        <v/>
      </c>
      <c r="B25" s="34" t="str">
        <f>IF(ISBLANK(IDENTITAS!B41),"",IDENTITAS!B41)</f>
        <v/>
      </c>
      <c r="C25" s="35" t="str">
        <f>IF(ISBLANK(IDENTITAS!C41),"",IDENTITAS!C41)</f>
        <v/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36" t="str">
        <f t="shared" si="0"/>
        <v/>
      </c>
      <c r="R25" s="36" t="str">
        <f t="shared" si="1"/>
        <v/>
      </c>
      <c r="S25" s="36" t="str">
        <f t="shared" si="2"/>
        <v/>
      </c>
      <c r="T25" s="17"/>
      <c r="U25" s="17"/>
    </row>
    <row r="26" spans="1:21" ht="14.25" customHeight="1">
      <c r="A26" s="34" t="str">
        <f>IF(ISBLANK(IDENTITAS!A42),"",IDENTITAS!A42)</f>
        <v/>
      </c>
      <c r="B26" s="34" t="str">
        <f>IF(ISBLANK(IDENTITAS!B42),"",IDENTITAS!B42)</f>
        <v/>
      </c>
      <c r="C26" s="35" t="str">
        <f>IF(ISBLANK(IDENTITAS!C42),"",IDENTITAS!C42)</f>
        <v/>
      </c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36" t="str">
        <f t="shared" si="0"/>
        <v/>
      </c>
      <c r="R26" s="36" t="str">
        <f t="shared" si="1"/>
        <v/>
      </c>
      <c r="S26" s="36" t="str">
        <f t="shared" si="2"/>
        <v/>
      </c>
      <c r="T26" s="17"/>
      <c r="U26" s="17"/>
    </row>
    <row r="27" spans="1:21" ht="14.25" customHeight="1">
      <c r="A27" s="34" t="str">
        <f>IF(ISBLANK(IDENTITAS!A43),"",IDENTITAS!A43)</f>
        <v/>
      </c>
      <c r="B27" s="34" t="str">
        <f>IF(ISBLANK(IDENTITAS!B43),"",IDENTITAS!B43)</f>
        <v/>
      </c>
      <c r="C27" s="35" t="str">
        <f>IF(ISBLANK(IDENTITAS!C43),"",IDENTITAS!C43)</f>
        <v/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36" t="str">
        <f t="shared" si="0"/>
        <v/>
      </c>
      <c r="R27" s="36" t="str">
        <f t="shared" si="1"/>
        <v/>
      </c>
      <c r="S27" s="36" t="str">
        <f t="shared" si="2"/>
        <v/>
      </c>
      <c r="T27" s="17"/>
      <c r="U27" s="17"/>
    </row>
    <row r="28" spans="1:21" ht="14.25" customHeight="1">
      <c r="A28" s="34" t="str">
        <f>IF(ISBLANK(IDENTITAS!A44),"",IDENTITAS!A44)</f>
        <v/>
      </c>
      <c r="B28" s="34" t="str">
        <f>IF(ISBLANK(IDENTITAS!B44),"",IDENTITAS!B44)</f>
        <v/>
      </c>
      <c r="C28" s="35" t="str">
        <f>IF(ISBLANK(IDENTITAS!C44),"",IDENTITAS!C44)</f>
        <v/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36" t="str">
        <f t="shared" si="0"/>
        <v/>
      </c>
      <c r="R28" s="36" t="str">
        <f t="shared" si="1"/>
        <v/>
      </c>
      <c r="S28" s="36" t="str">
        <f t="shared" si="2"/>
        <v/>
      </c>
      <c r="T28" s="17"/>
      <c r="U28" s="17"/>
    </row>
    <row r="29" spans="1:21" ht="14.25" customHeight="1">
      <c r="A29" s="34" t="str">
        <f>IF(ISBLANK(IDENTITAS!A45),"",IDENTITAS!A45)</f>
        <v/>
      </c>
      <c r="B29" s="34" t="str">
        <f>IF(ISBLANK(IDENTITAS!B45),"",IDENTITAS!B45)</f>
        <v/>
      </c>
      <c r="C29" s="35" t="str">
        <f>IF(ISBLANK(IDENTITAS!C45),"",IDENTITAS!C45)</f>
        <v/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36" t="str">
        <f t="shared" si="0"/>
        <v/>
      </c>
      <c r="R29" s="36" t="str">
        <f t="shared" si="1"/>
        <v/>
      </c>
      <c r="S29" s="36" t="str">
        <f t="shared" si="2"/>
        <v/>
      </c>
      <c r="T29" s="17"/>
      <c r="U29" s="17"/>
    </row>
    <row r="30" spans="1:21" ht="14.25" customHeight="1">
      <c r="A30" s="34" t="str">
        <f>IF(ISBLANK(IDENTITAS!A46),"",IDENTITAS!A46)</f>
        <v/>
      </c>
      <c r="B30" s="34" t="str">
        <f>IF(ISBLANK(IDENTITAS!B46),"",IDENTITAS!B46)</f>
        <v/>
      </c>
      <c r="C30" s="35" t="str">
        <f>IF(ISBLANK(IDENTITAS!C46),"",IDENTITAS!C46)</f>
        <v/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36" t="str">
        <f t="shared" si="0"/>
        <v/>
      </c>
      <c r="R30" s="36" t="str">
        <f t="shared" si="1"/>
        <v/>
      </c>
      <c r="S30" s="36" t="str">
        <f t="shared" si="2"/>
        <v/>
      </c>
      <c r="T30" s="17"/>
      <c r="U30" s="17"/>
    </row>
    <row r="31" spans="1:21" ht="14.25" customHeight="1">
      <c r="A31" s="34" t="str">
        <f>IF(ISBLANK(IDENTITAS!A47),"",IDENTITAS!A47)</f>
        <v/>
      </c>
      <c r="B31" s="34" t="str">
        <f>IF(ISBLANK(IDENTITAS!B47),"",IDENTITAS!B47)</f>
        <v/>
      </c>
      <c r="C31" s="35" t="str">
        <f>IF(ISBLANK(IDENTITAS!C47),"",IDENTITAS!C47)</f>
        <v/>
      </c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36" t="str">
        <f t="shared" si="0"/>
        <v/>
      </c>
      <c r="R31" s="36" t="str">
        <f t="shared" si="1"/>
        <v/>
      </c>
      <c r="S31" s="36" t="str">
        <f t="shared" si="2"/>
        <v/>
      </c>
      <c r="T31" s="17"/>
      <c r="U31" s="17"/>
    </row>
    <row r="32" spans="1:21" ht="14.25" customHeight="1">
      <c r="A32" s="34" t="str">
        <f>IF(ISBLANK(IDENTITAS!A48),"",IDENTITAS!A48)</f>
        <v/>
      </c>
      <c r="B32" s="34" t="str">
        <f>IF(ISBLANK(IDENTITAS!B48),"",IDENTITAS!B48)</f>
        <v/>
      </c>
      <c r="C32" s="35" t="str">
        <f>IF(ISBLANK(IDENTITAS!C48),"",IDENTITAS!C48)</f>
        <v/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36" t="str">
        <f t="shared" si="0"/>
        <v/>
      </c>
      <c r="R32" s="36" t="str">
        <f t="shared" si="1"/>
        <v/>
      </c>
      <c r="S32" s="36" t="str">
        <f t="shared" si="2"/>
        <v/>
      </c>
      <c r="T32" s="17"/>
      <c r="U32" s="17"/>
    </row>
    <row r="33" spans="1:21" ht="14.25" customHeight="1">
      <c r="A33" s="34" t="str">
        <f>IF(ISBLANK(IDENTITAS!A49),"",IDENTITAS!A49)</f>
        <v/>
      </c>
      <c r="B33" s="34" t="str">
        <f>IF(ISBLANK(IDENTITAS!B49),"",IDENTITAS!B49)</f>
        <v/>
      </c>
      <c r="C33" s="35" t="str">
        <f>IF(ISBLANK(IDENTITAS!C49),"",IDENTITAS!C49)</f>
        <v/>
      </c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36" t="str">
        <f t="shared" si="0"/>
        <v/>
      </c>
      <c r="R33" s="36" t="str">
        <f t="shared" si="1"/>
        <v/>
      </c>
      <c r="S33" s="36" t="str">
        <f t="shared" si="2"/>
        <v/>
      </c>
      <c r="T33" s="17"/>
      <c r="U33" s="17"/>
    </row>
    <row r="34" spans="1:21" ht="14.25" customHeight="1">
      <c r="A34" s="34" t="str">
        <f>IF(ISBLANK(IDENTITAS!A50),"",IDENTITAS!A50)</f>
        <v/>
      </c>
      <c r="B34" s="34" t="str">
        <f>IF(ISBLANK(IDENTITAS!B50),"",IDENTITAS!B50)</f>
        <v/>
      </c>
      <c r="C34" s="35" t="str">
        <f>IF(ISBLANK(IDENTITAS!C50),"",IDENTITAS!C50)</f>
        <v/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36" t="str">
        <f t="shared" si="0"/>
        <v/>
      </c>
      <c r="R34" s="36" t="str">
        <f t="shared" si="1"/>
        <v/>
      </c>
      <c r="S34" s="36" t="str">
        <f t="shared" si="2"/>
        <v/>
      </c>
      <c r="T34" s="17"/>
      <c r="U34" s="17"/>
    </row>
    <row r="35" spans="1:21" ht="14.25" customHeight="1">
      <c r="A35" s="34" t="str">
        <f>IF(ISBLANK(IDENTITAS!A51),"",IDENTITAS!A51)</f>
        <v/>
      </c>
      <c r="B35" s="34" t="str">
        <f>IF(ISBLANK(IDENTITAS!B51),"",IDENTITAS!B51)</f>
        <v/>
      </c>
      <c r="C35" s="35" t="str">
        <f>IF(ISBLANK(IDENTITAS!C51),"",IDENTITAS!C51)</f>
        <v/>
      </c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36" t="str">
        <f t="shared" si="0"/>
        <v/>
      </c>
      <c r="R35" s="36" t="str">
        <f t="shared" si="1"/>
        <v/>
      </c>
      <c r="S35" s="36" t="str">
        <f t="shared" si="2"/>
        <v/>
      </c>
      <c r="T35" s="17"/>
      <c r="U35" s="17"/>
    </row>
    <row r="36" spans="1:21" ht="14.25" customHeight="1">
      <c r="A36" s="34" t="str">
        <f>IF(ISBLANK(IDENTITAS!A52),"",IDENTITAS!A52)</f>
        <v/>
      </c>
      <c r="B36" s="34" t="str">
        <f>IF(ISBLANK(IDENTITAS!B52),"",IDENTITAS!B52)</f>
        <v/>
      </c>
      <c r="C36" s="35" t="str">
        <f>IF(ISBLANK(IDENTITAS!C52),"",IDENTITAS!C52)</f>
        <v/>
      </c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36" t="str">
        <f t="shared" si="0"/>
        <v/>
      </c>
      <c r="R36" s="36" t="str">
        <f t="shared" si="1"/>
        <v/>
      </c>
      <c r="S36" s="36" t="str">
        <f t="shared" si="2"/>
        <v/>
      </c>
      <c r="T36" s="17"/>
      <c r="U36" s="17"/>
    </row>
    <row r="37" spans="1:21" ht="14.25" customHeight="1">
      <c r="A37" s="34" t="str">
        <f>IF(ISBLANK(IDENTITAS!A53),"",IDENTITAS!A53)</f>
        <v/>
      </c>
      <c r="B37" s="34" t="str">
        <f>IF(ISBLANK(IDENTITAS!B53),"",IDENTITAS!B53)</f>
        <v/>
      </c>
      <c r="C37" s="35" t="str">
        <f>IF(ISBLANK(IDENTITAS!C53),"",IDENTITAS!C53)</f>
        <v/>
      </c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36" t="str">
        <f t="shared" si="0"/>
        <v/>
      </c>
      <c r="R37" s="36" t="str">
        <f t="shared" si="1"/>
        <v/>
      </c>
      <c r="S37" s="36" t="str">
        <f t="shared" si="2"/>
        <v/>
      </c>
      <c r="T37" s="17"/>
      <c r="U37" s="17"/>
    </row>
    <row r="38" spans="1:21" ht="14.25" customHeight="1">
      <c r="A38" s="34" t="str">
        <f>IF(ISBLANK(IDENTITAS!A54),"",IDENTITAS!A54)</f>
        <v/>
      </c>
      <c r="B38" s="34" t="str">
        <f>IF(ISBLANK(IDENTITAS!B54),"",IDENTITAS!B54)</f>
        <v/>
      </c>
      <c r="C38" s="35" t="str">
        <f>IF(ISBLANK(IDENTITAS!C54),"",IDENTITAS!C54)</f>
        <v/>
      </c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36" t="str">
        <f t="shared" si="0"/>
        <v/>
      </c>
      <c r="R38" s="36" t="str">
        <f t="shared" si="1"/>
        <v/>
      </c>
      <c r="S38" s="36" t="str">
        <f t="shared" si="2"/>
        <v/>
      </c>
      <c r="T38" s="17"/>
      <c r="U38" s="17"/>
    </row>
    <row r="39" spans="1:21" ht="14.25" customHeight="1">
      <c r="A39" s="34" t="str">
        <f>IF(ISBLANK(IDENTITAS!A55),"",IDENTITAS!A55)</f>
        <v/>
      </c>
      <c r="B39" s="34" t="str">
        <f>IF(ISBLANK(IDENTITAS!B55),"",IDENTITAS!B55)</f>
        <v/>
      </c>
      <c r="C39" s="35" t="str">
        <f>IF(ISBLANK(IDENTITAS!C55),"",IDENTITAS!C55)</f>
        <v/>
      </c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36" t="str">
        <f t="shared" si="0"/>
        <v/>
      </c>
      <c r="R39" s="36" t="str">
        <f t="shared" si="1"/>
        <v/>
      </c>
      <c r="S39" s="36" t="str">
        <f t="shared" si="2"/>
        <v/>
      </c>
      <c r="T39" s="17"/>
      <c r="U39" s="17"/>
    </row>
    <row r="40" spans="1:21" ht="14.25" customHeight="1">
      <c r="A40" s="34" t="str">
        <f>IF(ISBLANK(IDENTITAS!A56),"",IDENTITAS!A56)</f>
        <v/>
      </c>
      <c r="B40" s="34" t="str">
        <f>IF(ISBLANK(IDENTITAS!B56),"",IDENTITAS!B56)</f>
        <v/>
      </c>
      <c r="C40" s="35" t="str">
        <f>IF(ISBLANK(IDENTITAS!C56),"",IDENTITAS!C56)</f>
        <v/>
      </c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36" t="str">
        <f t="shared" si="0"/>
        <v/>
      </c>
      <c r="R40" s="36" t="str">
        <f t="shared" si="1"/>
        <v/>
      </c>
      <c r="S40" s="36" t="str">
        <f t="shared" si="2"/>
        <v/>
      </c>
      <c r="T40" s="17"/>
      <c r="U40" s="17"/>
    </row>
    <row r="41" spans="1:21" ht="14.25" customHeight="1">
      <c r="A41" s="34" t="str">
        <f>IF(ISBLANK(IDENTITAS!A57),"",IDENTITAS!A57)</f>
        <v/>
      </c>
      <c r="B41" s="34" t="str">
        <f>IF(ISBLANK(IDENTITAS!B57),"",IDENTITAS!B57)</f>
        <v/>
      </c>
      <c r="C41" s="35" t="str">
        <f>IF(ISBLANK(IDENTITAS!C57),"",IDENTITAS!C57)</f>
        <v/>
      </c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36" t="str">
        <f t="shared" si="0"/>
        <v/>
      </c>
      <c r="R41" s="36" t="str">
        <f t="shared" si="1"/>
        <v/>
      </c>
      <c r="S41" s="36" t="str">
        <f t="shared" si="2"/>
        <v/>
      </c>
      <c r="T41" s="17"/>
      <c r="U41" s="17"/>
    </row>
    <row r="42" spans="1:21" ht="14.25" customHeight="1">
      <c r="A42" s="34" t="str">
        <f>IF(ISBLANK(IDENTITAS!A58),"",IDENTITAS!A58)</f>
        <v/>
      </c>
      <c r="B42" s="34" t="str">
        <f>IF(ISBLANK(IDENTITAS!B58),"",IDENTITAS!B58)</f>
        <v/>
      </c>
      <c r="C42" s="35" t="str">
        <f>IF(ISBLANK(IDENTITAS!C58),"",IDENTITAS!C58)</f>
        <v/>
      </c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36" t="str">
        <f t="shared" si="0"/>
        <v/>
      </c>
      <c r="R42" s="36" t="str">
        <f t="shared" si="1"/>
        <v/>
      </c>
      <c r="S42" s="36" t="str">
        <f t="shared" si="2"/>
        <v/>
      </c>
      <c r="T42" s="17"/>
      <c r="U42" s="17"/>
    </row>
    <row r="43" spans="1:21" ht="14.25" customHeight="1">
      <c r="A43" s="34" t="str">
        <f>IF(ISBLANK(IDENTITAS!A59),"",IDENTITAS!A59)</f>
        <v/>
      </c>
      <c r="B43" s="34" t="str">
        <f>IF(ISBLANK(IDENTITAS!B59),"",IDENTITAS!B59)</f>
        <v/>
      </c>
      <c r="C43" s="35" t="str">
        <f>IF(ISBLANK(IDENTITAS!C59),"",IDENTITAS!C59)</f>
        <v/>
      </c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36" t="str">
        <f t="shared" si="0"/>
        <v/>
      </c>
      <c r="R43" s="36" t="str">
        <f t="shared" si="1"/>
        <v/>
      </c>
      <c r="S43" s="36" t="str">
        <f t="shared" si="2"/>
        <v/>
      </c>
      <c r="T43" s="17"/>
      <c r="U43" s="17"/>
    </row>
    <row r="44" spans="1:21" ht="14.25" customHeight="1">
      <c r="A44" s="34" t="str">
        <f>IF(ISBLANK(IDENTITAS!A60),"",IDENTITAS!A60)</f>
        <v/>
      </c>
      <c r="B44" s="34" t="str">
        <f>IF(ISBLANK(IDENTITAS!B60),"",IDENTITAS!B60)</f>
        <v/>
      </c>
      <c r="C44" s="35" t="str">
        <f>IF(ISBLANK(IDENTITAS!C60),"",IDENTITAS!C60)</f>
        <v/>
      </c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36" t="str">
        <f t="shared" si="0"/>
        <v/>
      </c>
      <c r="R44" s="36" t="str">
        <f t="shared" si="1"/>
        <v/>
      </c>
      <c r="S44" s="36" t="str">
        <f t="shared" si="2"/>
        <v/>
      </c>
      <c r="T44" s="17"/>
      <c r="U44" s="17"/>
    </row>
    <row r="45" spans="1:21" ht="14.25" customHeight="1">
      <c r="A45" s="34" t="str">
        <f>IF(ISBLANK(IDENTITAS!A61),"",IDENTITAS!A61)</f>
        <v/>
      </c>
      <c r="B45" s="34" t="str">
        <f>IF(ISBLANK(IDENTITAS!B61),"",IDENTITAS!B61)</f>
        <v/>
      </c>
      <c r="C45" s="35" t="str">
        <f>IF(ISBLANK(IDENTITAS!C61),"",IDENTITAS!C61)</f>
        <v/>
      </c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36" t="str">
        <f t="shared" si="0"/>
        <v/>
      </c>
      <c r="R45" s="36" t="str">
        <f t="shared" si="1"/>
        <v/>
      </c>
      <c r="S45" s="36" t="str">
        <f t="shared" si="2"/>
        <v/>
      </c>
      <c r="T45" s="17"/>
      <c r="U45" s="17"/>
    </row>
    <row r="46" spans="1:21" ht="14.25" customHeight="1">
      <c r="A46" s="34" t="str">
        <f>IF(ISBLANK(IDENTITAS!A62),"",IDENTITAS!A62)</f>
        <v/>
      </c>
      <c r="B46" s="34" t="str">
        <f>IF(ISBLANK(IDENTITAS!B62),"",IDENTITAS!B62)</f>
        <v/>
      </c>
      <c r="C46" s="35" t="str">
        <f>IF(ISBLANK(IDENTITAS!C62),"",IDENTITAS!C62)</f>
        <v/>
      </c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36" t="str">
        <f t="shared" si="0"/>
        <v/>
      </c>
      <c r="R46" s="36" t="str">
        <f t="shared" si="1"/>
        <v/>
      </c>
      <c r="S46" s="36" t="str">
        <f t="shared" si="2"/>
        <v/>
      </c>
      <c r="T46" s="17"/>
      <c r="U46" s="17"/>
    </row>
    <row r="47" spans="1:21" ht="14.25" customHeight="1">
      <c r="A47" s="34" t="str">
        <f>IF(ISBLANK(IDENTITAS!A63),"",IDENTITAS!A63)</f>
        <v/>
      </c>
      <c r="B47" s="34" t="str">
        <f>IF(ISBLANK(IDENTITAS!B63),"",IDENTITAS!B63)</f>
        <v/>
      </c>
      <c r="C47" s="35" t="str">
        <f>IF(ISBLANK(IDENTITAS!C63),"",IDENTITAS!C63)</f>
        <v/>
      </c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36" t="str">
        <f t="shared" si="0"/>
        <v/>
      </c>
      <c r="R47" s="36" t="str">
        <f t="shared" si="1"/>
        <v/>
      </c>
      <c r="S47" s="36" t="str">
        <f t="shared" si="2"/>
        <v/>
      </c>
      <c r="T47" s="17"/>
      <c r="U47" s="17"/>
    </row>
    <row r="48" spans="1:21" ht="14.25" customHeight="1">
      <c r="A48" s="34" t="str">
        <f>IF(ISBLANK(IDENTITAS!A64),"",IDENTITAS!A64)</f>
        <v/>
      </c>
      <c r="B48" s="34" t="str">
        <f>IF(ISBLANK(IDENTITAS!B64),"",IDENTITAS!B64)</f>
        <v/>
      </c>
      <c r="C48" s="35" t="str">
        <f>IF(ISBLANK(IDENTITAS!C64),"",IDENTITAS!C64)</f>
        <v/>
      </c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36" t="str">
        <f t="shared" si="0"/>
        <v/>
      </c>
      <c r="R48" s="36" t="str">
        <f t="shared" si="1"/>
        <v/>
      </c>
      <c r="S48" s="36" t="str">
        <f t="shared" si="2"/>
        <v/>
      </c>
      <c r="T48" s="17"/>
      <c r="U48" s="17"/>
    </row>
    <row r="49" spans="1:21" ht="14.25" customHeight="1">
      <c r="A49" s="34" t="str">
        <f>IF(ISBLANK(IDENTITAS!A65),"",IDENTITAS!A65)</f>
        <v/>
      </c>
      <c r="B49" s="34" t="str">
        <f>IF(ISBLANK(IDENTITAS!B65),"",IDENTITAS!B65)</f>
        <v/>
      </c>
      <c r="C49" s="35" t="str">
        <f>IF(ISBLANK(IDENTITAS!C65),"",IDENTITAS!C65)</f>
        <v/>
      </c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36" t="str">
        <f t="shared" si="0"/>
        <v/>
      </c>
      <c r="R49" s="36" t="str">
        <f t="shared" si="1"/>
        <v/>
      </c>
      <c r="S49" s="36" t="str">
        <f t="shared" si="2"/>
        <v/>
      </c>
      <c r="T49" s="17"/>
      <c r="U49" s="17"/>
    </row>
    <row r="50" spans="1:21" ht="14.25" customHeight="1">
      <c r="A50" s="34" t="str">
        <f>IF(ISBLANK(IDENTITAS!A66),"",IDENTITAS!A66)</f>
        <v/>
      </c>
      <c r="B50" s="34" t="str">
        <f>IF(ISBLANK(IDENTITAS!B66),"",IDENTITAS!B66)</f>
        <v/>
      </c>
      <c r="C50" s="35" t="str">
        <f>IF(ISBLANK(IDENTITAS!C66),"",IDENTITAS!C66)</f>
        <v/>
      </c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36" t="str">
        <f t="shared" si="0"/>
        <v/>
      </c>
      <c r="R50" s="36" t="str">
        <f t="shared" si="1"/>
        <v/>
      </c>
      <c r="S50" s="36" t="str">
        <f t="shared" si="2"/>
        <v/>
      </c>
      <c r="T50" s="17"/>
      <c r="U50" s="17"/>
    </row>
    <row r="51" spans="1:21" ht="14.25" customHeight="1">
      <c r="A51" s="34" t="str">
        <f>IF(ISBLANK(IDENTITAS!A67),"",IDENTITAS!A67)</f>
        <v/>
      </c>
      <c r="B51" s="34" t="str">
        <f>IF(ISBLANK(IDENTITAS!B67),"",IDENTITAS!B67)</f>
        <v/>
      </c>
      <c r="C51" s="35" t="str">
        <f>IF(ISBLANK(IDENTITAS!C67),"",IDENTITAS!C67)</f>
        <v/>
      </c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36" t="str">
        <f t="shared" si="0"/>
        <v/>
      </c>
      <c r="R51" s="36" t="str">
        <f t="shared" si="1"/>
        <v/>
      </c>
      <c r="S51" s="36" t="str">
        <f t="shared" si="2"/>
        <v/>
      </c>
      <c r="T51" s="17"/>
      <c r="U51" s="17"/>
    </row>
    <row r="52" spans="1:21" ht="14.25" customHeight="1">
      <c r="A52" s="34" t="str">
        <f>IF(ISBLANK(IDENTITAS!A68),"",IDENTITAS!A68)</f>
        <v/>
      </c>
      <c r="B52" s="34" t="str">
        <f>IF(ISBLANK(IDENTITAS!B68),"",IDENTITAS!B68)</f>
        <v/>
      </c>
      <c r="C52" s="35" t="str">
        <f>IF(ISBLANK(IDENTITAS!C68),"",IDENTITAS!C68)</f>
        <v/>
      </c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36" t="str">
        <f t="shared" si="0"/>
        <v/>
      </c>
      <c r="R52" s="36" t="str">
        <f t="shared" si="1"/>
        <v/>
      </c>
      <c r="S52" s="36" t="str">
        <f t="shared" si="2"/>
        <v/>
      </c>
      <c r="T52" s="17"/>
      <c r="U52" s="17"/>
    </row>
    <row r="53" spans="1:21" ht="14.25" customHeight="1">
      <c r="A53" s="34" t="str">
        <f>IF(ISBLANK(IDENTITAS!A69),"",IDENTITAS!A69)</f>
        <v/>
      </c>
      <c r="B53" s="34" t="str">
        <f>IF(ISBLANK(IDENTITAS!B69),"",IDENTITAS!B69)</f>
        <v/>
      </c>
      <c r="C53" s="35" t="str">
        <f>IF(ISBLANK(IDENTITAS!C69),"",IDENTITAS!C69)</f>
        <v/>
      </c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36" t="str">
        <f t="shared" si="0"/>
        <v/>
      </c>
      <c r="R53" s="36" t="str">
        <f t="shared" si="1"/>
        <v/>
      </c>
      <c r="S53" s="36" t="str">
        <f t="shared" si="2"/>
        <v/>
      </c>
      <c r="T53" s="17"/>
      <c r="U53" s="17"/>
    </row>
    <row r="54" spans="1:21" ht="14.25" customHeight="1">
      <c r="A54" s="34" t="str">
        <f>IF(ISBLANK(IDENTITAS!A70),"",IDENTITAS!A70)</f>
        <v/>
      </c>
      <c r="B54" s="34" t="str">
        <f>IF(ISBLANK(IDENTITAS!B70),"",IDENTITAS!B70)</f>
        <v/>
      </c>
      <c r="C54" s="35" t="str">
        <f>IF(ISBLANK(IDENTITAS!C70),"",IDENTITAS!C70)</f>
        <v/>
      </c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36" t="str">
        <f t="shared" si="0"/>
        <v/>
      </c>
      <c r="R54" s="36" t="str">
        <f t="shared" si="1"/>
        <v/>
      </c>
      <c r="S54" s="36" t="str">
        <f t="shared" si="2"/>
        <v/>
      </c>
      <c r="T54" s="17"/>
      <c r="U54" s="17"/>
    </row>
    <row r="55" spans="1:21" ht="14.25" customHeight="1">
      <c r="A55" s="34" t="str">
        <f>IF(ISBLANK(IDENTITAS!A71),"",IDENTITAS!A71)</f>
        <v/>
      </c>
      <c r="B55" s="34" t="str">
        <f>IF(ISBLANK(IDENTITAS!B71),"",IDENTITAS!B71)</f>
        <v/>
      </c>
      <c r="C55" s="35" t="str">
        <f>IF(ISBLANK(IDENTITAS!C71),"",IDENTITAS!C71)</f>
        <v/>
      </c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36" t="str">
        <f t="shared" si="0"/>
        <v/>
      </c>
      <c r="R55" s="36" t="str">
        <f t="shared" si="1"/>
        <v/>
      </c>
      <c r="S55" s="36" t="str">
        <f t="shared" si="2"/>
        <v/>
      </c>
      <c r="T55" s="17"/>
      <c r="U55" s="17"/>
    </row>
    <row r="56" spans="1:21" ht="14.25" customHeight="1">
      <c r="A56" s="34" t="str">
        <f>IF(ISBLANK(IDENTITAS!A72),"",IDENTITAS!A72)</f>
        <v/>
      </c>
      <c r="B56" s="34" t="str">
        <f>IF(ISBLANK(IDENTITAS!B72),"",IDENTITAS!B72)</f>
        <v/>
      </c>
      <c r="C56" s="35" t="str">
        <f>IF(ISBLANK(IDENTITAS!C72),"",IDENTITAS!C72)</f>
        <v/>
      </c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36" t="str">
        <f t="shared" si="0"/>
        <v/>
      </c>
      <c r="R56" s="36" t="str">
        <f t="shared" si="1"/>
        <v/>
      </c>
      <c r="S56" s="36" t="str">
        <f t="shared" si="2"/>
        <v/>
      </c>
      <c r="T56" s="17"/>
      <c r="U56" s="17"/>
    </row>
    <row r="57" spans="1:21" ht="14.25" customHeight="1">
      <c r="A57" s="34" t="str">
        <f>IF(ISBLANK(IDENTITAS!A73),"",IDENTITAS!A73)</f>
        <v/>
      </c>
      <c r="B57" s="34" t="str">
        <f>IF(ISBLANK(IDENTITAS!B73),"",IDENTITAS!B73)</f>
        <v/>
      </c>
      <c r="C57" s="35" t="str">
        <f>IF(ISBLANK(IDENTITAS!C73),"",IDENTITAS!C73)</f>
        <v/>
      </c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36" t="str">
        <f t="shared" si="0"/>
        <v/>
      </c>
      <c r="R57" s="36" t="str">
        <f t="shared" si="1"/>
        <v/>
      </c>
      <c r="S57" s="36" t="str">
        <f t="shared" si="2"/>
        <v/>
      </c>
      <c r="T57" s="17"/>
      <c r="U57" s="17"/>
    </row>
    <row r="58" spans="1:21" ht="14.25" customHeight="1">
      <c r="A58" s="34" t="str">
        <f>IF(ISBLANK(IDENTITAS!A74),"",IDENTITAS!A74)</f>
        <v/>
      </c>
      <c r="B58" s="34" t="str">
        <f>IF(ISBLANK(IDENTITAS!B74),"",IDENTITAS!B74)</f>
        <v/>
      </c>
      <c r="C58" s="35" t="str">
        <f>IF(ISBLANK(IDENTITAS!C74),"",IDENTITAS!C74)</f>
        <v/>
      </c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36" t="str">
        <f t="shared" si="0"/>
        <v/>
      </c>
      <c r="R58" s="36" t="str">
        <f t="shared" si="1"/>
        <v/>
      </c>
      <c r="S58" s="36" t="str">
        <f t="shared" si="2"/>
        <v/>
      </c>
      <c r="T58" s="17"/>
      <c r="U58" s="17"/>
    </row>
    <row r="59" spans="1:21" ht="14.25" customHeight="1">
      <c r="A59" s="34" t="str">
        <f>IF(ISBLANK(IDENTITAS!A75),"",IDENTITAS!A75)</f>
        <v/>
      </c>
      <c r="B59" s="34" t="str">
        <f>IF(ISBLANK(IDENTITAS!B75),"",IDENTITAS!B75)</f>
        <v/>
      </c>
      <c r="C59" s="35" t="str">
        <f>IF(ISBLANK(IDENTITAS!C75),"",IDENTITAS!C75)</f>
        <v/>
      </c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36" t="str">
        <f t="shared" si="0"/>
        <v/>
      </c>
      <c r="R59" s="36" t="str">
        <f t="shared" si="1"/>
        <v/>
      </c>
      <c r="S59" s="36" t="str">
        <f t="shared" si="2"/>
        <v/>
      </c>
      <c r="T59" s="17"/>
      <c r="U59" s="17"/>
    </row>
    <row r="60" spans="1:21" ht="14.25" customHeight="1">
      <c r="A60" s="34" t="str">
        <f>IF(ISBLANK(IDENTITAS!A76),"",IDENTITAS!A76)</f>
        <v/>
      </c>
      <c r="B60" s="34" t="str">
        <f>IF(ISBLANK(IDENTITAS!B76),"",IDENTITAS!B76)</f>
        <v/>
      </c>
      <c r="C60" s="35" t="str">
        <f>IF(ISBLANK(IDENTITAS!C76),"",IDENTITAS!C76)</f>
        <v/>
      </c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36" t="str">
        <f t="shared" si="0"/>
        <v/>
      </c>
      <c r="R60" s="36" t="str">
        <f t="shared" si="1"/>
        <v/>
      </c>
      <c r="S60" s="36" t="str">
        <f t="shared" si="2"/>
        <v/>
      </c>
      <c r="T60" s="17"/>
      <c r="U60" s="17"/>
    </row>
    <row r="61" spans="1:21" ht="14.25" customHeight="1">
      <c r="A61" s="34" t="str">
        <f>IF(ISBLANK(IDENTITAS!A77),"",IDENTITAS!A77)</f>
        <v/>
      </c>
      <c r="B61" s="34" t="str">
        <f>IF(ISBLANK(IDENTITAS!B77),"",IDENTITAS!B77)</f>
        <v/>
      </c>
      <c r="C61" s="35" t="str">
        <f>IF(ISBLANK(IDENTITAS!C77),"",IDENTITAS!C77)</f>
        <v/>
      </c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36" t="str">
        <f t="shared" si="0"/>
        <v/>
      </c>
      <c r="R61" s="36" t="str">
        <f t="shared" si="1"/>
        <v/>
      </c>
      <c r="S61" s="36" t="str">
        <f t="shared" si="2"/>
        <v/>
      </c>
      <c r="T61" s="17"/>
      <c r="U61" s="17"/>
    </row>
    <row r="62" spans="1:21" ht="14.25" customHeight="1">
      <c r="A62" s="34" t="str">
        <f>IF(ISBLANK(IDENTITAS!A78),"",IDENTITAS!A78)</f>
        <v/>
      </c>
      <c r="B62" s="34" t="str">
        <f>IF(ISBLANK(IDENTITAS!B78),"",IDENTITAS!B78)</f>
        <v/>
      </c>
      <c r="C62" s="35" t="str">
        <f>IF(ISBLANK(IDENTITAS!C78),"",IDENTITAS!C78)</f>
        <v/>
      </c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36" t="str">
        <f t="shared" si="0"/>
        <v/>
      </c>
      <c r="R62" s="36" t="str">
        <f t="shared" si="1"/>
        <v/>
      </c>
      <c r="S62" s="36" t="str">
        <f t="shared" si="2"/>
        <v/>
      </c>
      <c r="T62" s="17"/>
      <c r="U62" s="17"/>
    </row>
    <row r="63" spans="1:21" ht="14.25" customHeight="1">
      <c r="A63" s="34" t="str">
        <f>IF(ISBLANK(IDENTITAS!A79),"",IDENTITAS!A79)</f>
        <v/>
      </c>
      <c r="B63" s="34" t="str">
        <f>IF(ISBLANK(IDENTITAS!B79),"",IDENTITAS!B79)</f>
        <v/>
      </c>
      <c r="C63" s="35" t="str">
        <f>IF(ISBLANK(IDENTITAS!C79),"",IDENTITAS!C79)</f>
        <v/>
      </c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36" t="str">
        <f t="shared" si="0"/>
        <v/>
      </c>
      <c r="R63" s="36" t="str">
        <f t="shared" si="1"/>
        <v/>
      </c>
      <c r="S63" s="36" t="str">
        <f t="shared" si="2"/>
        <v/>
      </c>
      <c r="T63" s="17"/>
      <c r="U63" s="17"/>
    </row>
    <row r="64" spans="1:21" ht="14.25" customHeight="1">
      <c r="A64" s="34" t="str">
        <f>IF(ISBLANK(IDENTITAS!A80),"",IDENTITAS!A80)</f>
        <v/>
      </c>
      <c r="B64" s="34" t="str">
        <f>IF(ISBLANK(IDENTITAS!B80),"",IDENTITAS!B80)</f>
        <v/>
      </c>
      <c r="C64" s="35" t="str">
        <f>IF(ISBLANK(IDENTITAS!C80),"",IDENTITAS!C80)</f>
        <v/>
      </c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36" t="str">
        <f t="shared" si="0"/>
        <v/>
      </c>
      <c r="R64" s="36" t="str">
        <f t="shared" si="1"/>
        <v/>
      </c>
      <c r="S64" s="36" t="str">
        <f t="shared" si="2"/>
        <v/>
      </c>
      <c r="T64" s="17"/>
      <c r="U64" s="17"/>
    </row>
    <row r="65" spans="1:21" ht="14.25" customHeight="1">
      <c r="A65" s="34" t="str">
        <f>IF(ISBLANK(IDENTITAS!A81),"",IDENTITAS!A81)</f>
        <v/>
      </c>
      <c r="B65" s="34" t="str">
        <f>IF(ISBLANK(IDENTITAS!B81),"",IDENTITAS!B81)</f>
        <v/>
      </c>
      <c r="C65" s="35" t="str">
        <f>IF(ISBLANK(IDENTITAS!C81),"",IDENTITAS!C81)</f>
        <v/>
      </c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36" t="str">
        <f t="shared" si="0"/>
        <v/>
      </c>
      <c r="R65" s="36" t="str">
        <f t="shared" si="1"/>
        <v/>
      </c>
      <c r="S65" s="36" t="str">
        <f t="shared" si="2"/>
        <v/>
      </c>
      <c r="T65" s="17"/>
      <c r="U65" s="17"/>
    </row>
    <row r="66" spans="1:21" ht="14.25" customHeight="1">
      <c r="A66" s="34" t="str">
        <f>IF(ISBLANK(IDENTITAS!A82),"",IDENTITAS!A82)</f>
        <v/>
      </c>
      <c r="B66" s="34" t="str">
        <f>IF(ISBLANK(IDENTITAS!B82),"",IDENTITAS!B82)</f>
        <v/>
      </c>
      <c r="C66" s="35" t="str">
        <f>IF(ISBLANK(IDENTITAS!C82),"",IDENTITAS!C82)</f>
        <v/>
      </c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36" t="str">
        <f t="shared" si="0"/>
        <v/>
      </c>
      <c r="R66" s="36" t="str">
        <f t="shared" si="1"/>
        <v/>
      </c>
      <c r="S66" s="36" t="str">
        <f t="shared" si="2"/>
        <v/>
      </c>
      <c r="T66" s="17"/>
      <c r="U66" s="17"/>
    </row>
    <row r="67" spans="1:21" ht="14.25" customHeight="1">
      <c r="A67" s="34" t="str">
        <f>IF(ISBLANK(IDENTITAS!A83),"",IDENTITAS!A83)</f>
        <v/>
      </c>
      <c r="B67" s="34" t="str">
        <f>IF(ISBLANK(IDENTITAS!B83),"",IDENTITAS!B83)</f>
        <v/>
      </c>
      <c r="C67" s="35" t="str">
        <f>IF(ISBLANK(IDENTITAS!C83),"",IDENTITAS!C83)</f>
        <v/>
      </c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36" t="str">
        <f t="shared" si="0"/>
        <v/>
      </c>
      <c r="R67" s="36" t="str">
        <f t="shared" si="1"/>
        <v/>
      </c>
      <c r="S67" s="36" t="str">
        <f t="shared" si="2"/>
        <v/>
      </c>
      <c r="T67" s="17"/>
      <c r="U67" s="17"/>
    </row>
    <row r="68" spans="1:21" ht="14.25" customHeight="1">
      <c r="A68" s="34" t="str">
        <f>IF(ISBLANK(IDENTITAS!A84),"",IDENTITAS!A84)</f>
        <v/>
      </c>
      <c r="B68" s="34" t="str">
        <f>IF(ISBLANK(IDENTITAS!B84),"",IDENTITAS!B84)</f>
        <v/>
      </c>
      <c r="C68" s="35" t="str">
        <f>IF(ISBLANK(IDENTITAS!C84),"",IDENTITAS!C84)</f>
        <v/>
      </c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36" t="str">
        <f t="shared" si="0"/>
        <v/>
      </c>
      <c r="R68" s="36" t="str">
        <f t="shared" si="1"/>
        <v/>
      </c>
      <c r="S68" s="36" t="str">
        <f t="shared" si="2"/>
        <v/>
      </c>
      <c r="T68" s="17"/>
      <c r="U68" s="17"/>
    </row>
    <row r="69" spans="1:21" ht="14.25" customHeight="1">
      <c r="A69" s="34" t="str">
        <f>IF(ISBLANK(IDENTITAS!A85),"",IDENTITAS!A85)</f>
        <v/>
      </c>
      <c r="B69" s="34" t="str">
        <f>IF(ISBLANK(IDENTITAS!B85),"",IDENTITAS!B85)</f>
        <v/>
      </c>
      <c r="C69" s="35" t="str">
        <f>IF(ISBLANK(IDENTITAS!C85),"",IDENTITAS!C85)</f>
        <v/>
      </c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36" t="str">
        <f t="shared" si="0"/>
        <v/>
      </c>
      <c r="R69" s="36" t="str">
        <f t="shared" si="1"/>
        <v/>
      </c>
      <c r="S69" s="36" t="str">
        <f t="shared" si="2"/>
        <v/>
      </c>
      <c r="T69" s="17"/>
      <c r="U69" s="17"/>
    </row>
    <row r="70" spans="1:21" ht="14.25" customHeight="1">
      <c r="A70" s="34" t="str">
        <f>IF(ISBLANK(IDENTITAS!A86),"",IDENTITAS!A86)</f>
        <v/>
      </c>
      <c r="B70" s="34" t="str">
        <f>IF(ISBLANK(IDENTITAS!B86),"",IDENTITAS!B86)</f>
        <v/>
      </c>
      <c r="C70" s="35" t="str">
        <f>IF(ISBLANK(IDENTITAS!C86),"",IDENTITAS!C86)</f>
        <v/>
      </c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36" t="str">
        <f t="shared" si="0"/>
        <v/>
      </c>
      <c r="R70" s="36" t="str">
        <f t="shared" si="1"/>
        <v/>
      </c>
      <c r="S70" s="36" t="str">
        <f t="shared" si="2"/>
        <v/>
      </c>
      <c r="T70" s="17"/>
      <c r="U70" s="17"/>
    </row>
    <row r="71" spans="1:21" ht="14.25" customHeight="1">
      <c r="A71" s="34" t="str">
        <f>IF(ISBLANK(IDENTITAS!A87),"",IDENTITAS!A87)</f>
        <v/>
      </c>
      <c r="B71" s="34" t="str">
        <f>IF(ISBLANK(IDENTITAS!B87),"",IDENTITAS!B87)</f>
        <v/>
      </c>
      <c r="C71" s="35" t="str">
        <f>IF(ISBLANK(IDENTITAS!C87),"",IDENTITAS!C87)</f>
        <v/>
      </c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36" t="str">
        <f t="shared" si="0"/>
        <v/>
      </c>
      <c r="R71" s="36" t="str">
        <f t="shared" si="1"/>
        <v/>
      </c>
      <c r="S71" s="36" t="str">
        <f t="shared" si="2"/>
        <v/>
      </c>
      <c r="T71" s="17"/>
      <c r="U71" s="17"/>
    </row>
    <row r="72" spans="1:21" ht="14.25" customHeight="1">
      <c r="A72" s="34" t="str">
        <f>IF(ISBLANK(IDENTITAS!A88),"",IDENTITAS!A88)</f>
        <v/>
      </c>
      <c r="B72" s="34" t="str">
        <f>IF(ISBLANK(IDENTITAS!B88),"",IDENTITAS!B88)</f>
        <v/>
      </c>
      <c r="C72" s="35" t="str">
        <f>IF(ISBLANK(IDENTITAS!C88),"",IDENTITAS!C88)</f>
        <v/>
      </c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36" t="str">
        <f t="shared" si="0"/>
        <v/>
      </c>
      <c r="R72" s="36" t="str">
        <f t="shared" si="1"/>
        <v/>
      </c>
      <c r="S72" s="36" t="str">
        <f t="shared" si="2"/>
        <v/>
      </c>
      <c r="T72" s="17"/>
      <c r="U72" s="17"/>
    </row>
    <row r="73" spans="1:21" ht="14.25" customHeight="1">
      <c r="A73" s="34" t="str">
        <f>IF(ISBLANK(IDENTITAS!A89),"",IDENTITAS!A89)</f>
        <v/>
      </c>
      <c r="B73" s="34" t="str">
        <f>IF(ISBLANK(IDENTITAS!B89),"",IDENTITAS!B89)</f>
        <v/>
      </c>
      <c r="C73" s="35" t="str">
        <f>IF(ISBLANK(IDENTITAS!C89),"",IDENTITAS!C89)</f>
        <v/>
      </c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36" t="str">
        <f t="shared" si="0"/>
        <v/>
      </c>
      <c r="R73" s="36" t="str">
        <f t="shared" si="1"/>
        <v/>
      </c>
      <c r="S73" s="36" t="str">
        <f t="shared" si="2"/>
        <v/>
      </c>
      <c r="T73" s="17"/>
      <c r="U73" s="17"/>
    </row>
    <row r="74" spans="1:21" ht="14.25" customHeight="1">
      <c r="A74" s="34" t="str">
        <f>IF(ISBLANK(IDENTITAS!A90),"",IDENTITAS!A90)</f>
        <v/>
      </c>
      <c r="B74" s="34" t="str">
        <f>IF(ISBLANK(IDENTITAS!B90),"",IDENTITAS!B90)</f>
        <v/>
      </c>
      <c r="C74" s="35" t="str">
        <f>IF(ISBLANK(IDENTITAS!C90),"",IDENTITAS!C90)</f>
        <v/>
      </c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36" t="str">
        <f t="shared" si="0"/>
        <v/>
      </c>
      <c r="R74" s="36" t="str">
        <f t="shared" si="1"/>
        <v/>
      </c>
      <c r="S74" s="36" t="str">
        <f t="shared" si="2"/>
        <v/>
      </c>
      <c r="T74" s="17"/>
      <c r="U74" s="17"/>
    </row>
    <row r="75" spans="1:21" ht="14.25" customHeight="1">
      <c r="A75" s="34" t="str">
        <f>IF(ISBLANK(IDENTITAS!A91),"",IDENTITAS!A91)</f>
        <v/>
      </c>
      <c r="B75" s="34" t="str">
        <f>IF(ISBLANK(IDENTITAS!B91),"",IDENTITAS!B91)</f>
        <v/>
      </c>
      <c r="C75" s="35" t="str">
        <f>IF(ISBLANK(IDENTITAS!C91),"",IDENTITAS!C91)</f>
        <v/>
      </c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36" t="str">
        <f t="shared" si="0"/>
        <v/>
      </c>
      <c r="R75" s="36" t="str">
        <f t="shared" si="1"/>
        <v/>
      </c>
      <c r="S75" s="36" t="str">
        <f t="shared" si="2"/>
        <v/>
      </c>
      <c r="T75" s="17"/>
      <c r="U75" s="17"/>
    </row>
    <row r="76" spans="1:21" ht="14.25" customHeight="1">
      <c r="A76" s="34" t="str">
        <f>IF(ISBLANK(IDENTITAS!A92),"",IDENTITAS!A92)</f>
        <v/>
      </c>
      <c r="B76" s="34" t="str">
        <f>IF(ISBLANK(IDENTITAS!B92),"",IDENTITAS!B92)</f>
        <v/>
      </c>
      <c r="C76" s="35" t="str">
        <f>IF(ISBLANK(IDENTITAS!C92),"",IDENTITAS!C92)</f>
        <v/>
      </c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36" t="str">
        <f t="shared" si="0"/>
        <v/>
      </c>
      <c r="R76" s="36" t="str">
        <f t="shared" si="1"/>
        <v/>
      </c>
      <c r="S76" s="36" t="str">
        <f t="shared" si="2"/>
        <v/>
      </c>
      <c r="T76" s="17"/>
      <c r="U76" s="17"/>
    </row>
    <row r="77" spans="1:21" ht="14.25" customHeight="1">
      <c r="A77" s="34" t="str">
        <f>IF(ISBLANK(IDENTITAS!A93),"",IDENTITAS!A93)</f>
        <v/>
      </c>
      <c r="B77" s="34" t="str">
        <f>IF(ISBLANK(IDENTITAS!B93),"",IDENTITAS!B93)</f>
        <v/>
      </c>
      <c r="C77" s="35" t="str">
        <f>IF(ISBLANK(IDENTITAS!C93),"",IDENTITAS!C93)</f>
        <v/>
      </c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36" t="str">
        <f t="shared" si="0"/>
        <v/>
      </c>
      <c r="R77" s="36" t="str">
        <f t="shared" si="1"/>
        <v/>
      </c>
      <c r="S77" s="36" t="str">
        <f t="shared" si="2"/>
        <v/>
      </c>
      <c r="T77" s="17"/>
      <c r="U77" s="17"/>
    </row>
    <row r="78" spans="1:21" ht="14.25" customHeight="1">
      <c r="A78" s="34" t="str">
        <f>IF(ISBLANK(IDENTITAS!A94),"",IDENTITAS!A94)</f>
        <v/>
      </c>
      <c r="B78" s="34" t="str">
        <f>IF(ISBLANK(IDENTITAS!B94),"",IDENTITAS!B94)</f>
        <v/>
      </c>
      <c r="C78" s="35" t="str">
        <f>IF(ISBLANK(IDENTITAS!C94),"",IDENTITAS!C94)</f>
        <v/>
      </c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36" t="str">
        <f t="shared" si="0"/>
        <v/>
      </c>
      <c r="R78" s="36" t="str">
        <f t="shared" si="1"/>
        <v/>
      </c>
      <c r="S78" s="36" t="str">
        <f t="shared" si="2"/>
        <v/>
      </c>
      <c r="T78" s="17"/>
      <c r="U78" s="17"/>
    </row>
    <row r="79" spans="1:21" ht="14.25" customHeight="1">
      <c r="A79" s="34" t="str">
        <f>IF(ISBLANK(IDENTITAS!A95),"",IDENTITAS!A95)</f>
        <v/>
      </c>
      <c r="B79" s="34" t="str">
        <f>IF(ISBLANK(IDENTITAS!B95),"",IDENTITAS!B95)</f>
        <v/>
      </c>
      <c r="C79" s="35" t="str">
        <f>IF(ISBLANK(IDENTITAS!C95),"",IDENTITAS!C95)</f>
        <v/>
      </c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36" t="str">
        <f t="shared" si="0"/>
        <v/>
      </c>
      <c r="R79" s="36" t="str">
        <f t="shared" si="1"/>
        <v/>
      </c>
      <c r="S79" s="36" t="str">
        <f t="shared" si="2"/>
        <v/>
      </c>
      <c r="T79" s="17"/>
      <c r="U79" s="17"/>
    </row>
    <row r="80" spans="1:21" ht="14.25" customHeight="1">
      <c r="A80" s="34" t="str">
        <f>IF(ISBLANK(IDENTITAS!A96),"",IDENTITAS!A96)</f>
        <v/>
      </c>
      <c r="B80" s="34" t="str">
        <f>IF(ISBLANK(IDENTITAS!B96),"",IDENTITAS!B96)</f>
        <v/>
      </c>
      <c r="C80" s="35" t="str">
        <f>IF(ISBLANK(IDENTITAS!C96),"",IDENTITAS!C96)</f>
        <v/>
      </c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36" t="str">
        <f t="shared" si="0"/>
        <v/>
      </c>
      <c r="R80" s="36" t="str">
        <f t="shared" si="1"/>
        <v/>
      </c>
      <c r="S80" s="36" t="str">
        <f t="shared" si="2"/>
        <v/>
      </c>
      <c r="T80" s="17"/>
      <c r="U80" s="17"/>
    </row>
    <row r="81" spans="1:21" ht="14.25" customHeight="1">
      <c r="A81" s="34" t="str">
        <f>IF(ISBLANK(IDENTITAS!A97),"",IDENTITAS!A97)</f>
        <v/>
      </c>
      <c r="B81" s="34" t="str">
        <f>IF(ISBLANK(IDENTITAS!B97),"",IDENTITAS!B97)</f>
        <v/>
      </c>
      <c r="C81" s="35" t="str">
        <f>IF(ISBLANK(IDENTITAS!C97),"",IDENTITAS!C97)</f>
        <v/>
      </c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36" t="str">
        <f t="shared" si="0"/>
        <v/>
      </c>
      <c r="R81" s="36" t="str">
        <f t="shared" si="1"/>
        <v/>
      </c>
      <c r="S81" s="36" t="str">
        <f t="shared" si="2"/>
        <v/>
      </c>
      <c r="T81" s="17"/>
      <c r="U81" s="17"/>
    </row>
    <row r="82" spans="1:21" ht="14.25" customHeight="1">
      <c r="A82" s="34" t="str">
        <f>IF(ISBLANK(IDENTITAS!A98),"",IDENTITAS!A98)</f>
        <v/>
      </c>
      <c r="B82" s="34" t="str">
        <f>IF(ISBLANK(IDENTITAS!B98),"",IDENTITAS!B98)</f>
        <v/>
      </c>
      <c r="C82" s="35" t="str">
        <f>IF(ISBLANK(IDENTITAS!C98),"",IDENTITAS!C98)</f>
        <v/>
      </c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36" t="str">
        <f t="shared" si="0"/>
        <v/>
      </c>
      <c r="R82" s="36" t="str">
        <f t="shared" si="1"/>
        <v/>
      </c>
      <c r="S82" s="36" t="str">
        <f t="shared" si="2"/>
        <v/>
      </c>
      <c r="T82" s="17"/>
      <c r="U82" s="17"/>
    </row>
    <row r="83" spans="1:21" ht="14.25" customHeight="1">
      <c r="A83" s="34" t="str">
        <f>IF(ISBLANK(IDENTITAS!A99),"",IDENTITAS!A99)</f>
        <v/>
      </c>
      <c r="B83" s="34" t="str">
        <f>IF(ISBLANK(IDENTITAS!B99),"",IDENTITAS!B99)</f>
        <v/>
      </c>
      <c r="C83" s="35" t="str">
        <f>IF(ISBLANK(IDENTITAS!C99),"",IDENTITAS!C99)</f>
        <v/>
      </c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36" t="str">
        <f t="shared" si="0"/>
        <v/>
      </c>
      <c r="R83" s="36" t="str">
        <f t="shared" si="1"/>
        <v/>
      </c>
      <c r="S83" s="36" t="str">
        <f t="shared" si="2"/>
        <v/>
      </c>
      <c r="T83" s="17"/>
      <c r="U83" s="17"/>
    </row>
    <row r="84" spans="1:21" ht="14.25" customHeight="1">
      <c r="A84" s="34" t="str">
        <f>IF(ISBLANK(IDENTITAS!A100),"",IDENTITAS!A100)</f>
        <v/>
      </c>
      <c r="B84" s="34" t="str">
        <f>IF(ISBLANK(IDENTITAS!B100),"",IDENTITAS!B100)</f>
        <v/>
      </c>
      <c r="C84" s="35" t="str">
        <f>IF(ISBLANK(IDENTITAS!C100),"",IDENTITAS!C100)</f>
        <v/>
      </c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36" t="str">
        <f t="shared" si="0"/>
        <v/>
      </c>
      <c r="R84" s="36" t="str">
        <f t="shared" si="1"/>
        <v/>
      </c>
      <c r="S84" s="36" t="str">
        <f t="shared" si="2"/>
        <v/>
      </c>
      <c r="T84" s="17"/>
      <c r="U84" s="17"/>
    </row>
    <row r="85" spans="1:21" ht="14.25" customHeight="1">
      <c r="A85" s="34" t="str">
        <f>IF(ISBLANK(IDENTITAS!A101),"",IDENTITAS!A101)</f>
        <v/>
      </c>
      <c r="B85" s="34" t="str">
        <f>IF(ISBLANK(IDENTITAS!B101),"",IDENTITAS!B101)</f>
        <v/>
      </c>
      <c r="C85" s="35" t="str">
        <f>IF(ISBLANK(IDENTITAS!C101),"",IDENTITAS!C101)</f>
        <v/>
      </c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36" t="str">
        <f t="shared" si="0"/>
        <v/>
      </c>
      <c r="R85" s="36" t="str">
        <f t="shared" si="1"/>
        <v/>
      </c>
      <c r="S85" s="36" t="str">
        <f t="shared" si="2"/>
        <v/>
      </c>
      <c r="T85" s="17"/>
      <c r="U85" s="17"/>
    </row>
    <row r="86" spans="1:21" ht="14.25" customHeight="1">
      <c r="A86" s="34" t="str">
        <f>IF(ISBLANK(IDENTITAS!A102),"",IDENTITAS!A102)</f>
        <v/>
      </c>
      <c r="B86" s="34" t="str">
        <f>IF(ISBLANK(IDENTITAS!B102),"",IDENTITAS!B102)</f>
        <v/>
      </c>
      <c r="C86" s="35" t="str">
        <f>IF(ISBLANK(IDENTITAS!C102),"",IDENTITAS!C102)</f>
        <v/>
      </c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36" t="str">
        <f t="shared" si="0"/>
        <v/>
      </c>
      <c r="R86" s="36" t="str">
        <f t="shared" si="1"/>
        <v/>
      </c>
      <c r="S86" s="36" t="str">
        <f t="shared" si="2"/>
        <v/>
      </c>
      <c r="T86" s="17"/>
      <c r="U86" s="17"/>
    </row>
    <row r="87" spans="1:21" ht="14.25" customHeight="1">
      <c r="A87" s="34" t="str">
        <f>IF(ISBLANK(IDENTITAS!A103),"",IDENTITAS!A103)</f>
        <v/>
      </c>
      <c r="B87" s="34" t="str">
        <f>IF(ISBLANK(IDENTITAS!B103),"",IDENTITAS!B103)</f>
        <v/>
      </c>
      <c r="C87" s="35" t="str">
        <f>IF(ISBLANK(IDENTITAS!C103),"",IDENTITAS!C103)</f>
        <v/>
      </c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36" t="str">
        <f t="shared" si="0"/>
        <v/>
      </c>
      <c r="R87" s="36" t="str">
        <f t="shared" si="1"/>
        <v/>
      </c>
      <c r="S87" s="36" t="str">
        <f t="shared" si="2"/>
        <v/>
      </c>
      <c r="T87" s="17"/>
      <c r="U87" s="17"/>
    </row>
    <row r="88" spans="1:21" ht="14.25" customHeight="1">
      <c r="A88" s="34" t="str">
        <f>IF(ISBLANK(IDENTITAS!A104),"",IDENTITAS!A104)</f>
        <v/>
      </c>
      <c r="B88" s="34" t="str">
        <f>IF(ISBLANK(IDENTITAS!B104),"",IDENTITAS!B104)</f>
        <v/>
      </c>
      <c r="C88" s="35" t="str">
        <f>IF(ISBLANK(IDENTITAS!C104),"",IDENTITAS!C104)</f>
        <v/>
      </c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36" t="str">
        <f t="shared" si="0"/>
        <v/>
      </c>
      <c r="R88" s="36" t="str">
        <f t="shared" si="1"/>
        <v/>
      </c>
      <c r="S88" s="36" t="str">
        <f t="shared" si="2"/>
        <v/>
      </c>
      <c r="T88" s="17"/>
      <c r="U88" s="17"/>
    </row>
    <row r="89" spans="1:21" ht="14.25" customHeight="1">
      <c r="A89" s="34" t="str">
        <f>IF(ISBLANK(IDENTITAS!A105),"",IDENTITAS!A105)</f>
        <v/>
      </c>
      <c r="B89" s="34" t="str">
        <f>IF(ISBLANK(IDENTITAS!B105),"",IDENTITAS!B105)</f>
        <v/>
      </c>
      <c r="C89" s="35" t="str">
        <f>IF(ISBLANK(IDENTITAS!C105),"",IDENTITAS!C105)</f>
        <v/>
      </c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36" t="str">
        <f t="shared" si="0"/>
        <v/>
      </c>
      <c r="R89" s="36" t="str">
        <f t="shared" si="1"/>
        <v/>
      </c>
      <c r="S89" s="36" t="str">
        <f t="shared" si="2"/>
        <v/>
      </c>
      <c r="T89" s="17"/>
      <c r="U89" s="17"/>
    </row>
    <row r="90" spans="1:21" ht="14.25" customHeight="1">
      <c r="A90" s="34" t="str">
        <f>IF(ISBLANK(IDENTITAS!A106),"",IDENTITAS!A106)</f>
        <v/>
      </c>
      <c r="B90" s="34" t="str">
        <f>IF(ISBLANK(IDENTITAS!B106),"",IDENTITAS!B106)</f>
        <v/>
      </c>
      <c r="C90" s="35" t="str">
        <f>IF(ISBLANK(IDENTITAS!C106),"",IDENTITAS!C106)</f>
        <v/>
      </c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36" t="str">
        <f t="shared" si="0"/>
        <v/>
      </c>
      <c r="R90" s="36" t="str">
        <f t="shared" si="1"/>
        <v/>
      </c>
      <c r="S90" s="36" t="str">
        <f t="shared" si="2"/>
        <v/>
      </c>
      <c r="T90" s="17"/>
      <c r="U90" s="17"/>
    </row>
    <row r="91" spans="1:21" ht="14.25" customHeight="1">
      <c r="A91" s="34" t="str">
        <f>IF(ISBLANK(IDENTITAS!A107),"",IDENTITAS!A107)</f>
        <v/>
      </c>
      <c r="B91" s="34" t="str">
        <f>IF(ISBLANK(IDENTITAS!B107),"",IDENTITAS!B107)</f>
        <v/>
      </c>
      <c r="C91" s="35" t="str">
        <f>IF(ISBLANK(IDENTITAS!C107),"",IDENTITAS!C107)</f>
        <v/>
      </c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36" t="str">
        <f t="shared" si="0"/>
        <v/>
      </c>
      <c r="R91" s="36" t="str">
        <f t="shared" si="1"/>
        <v/>
      </c>
      <c r="S91" s="36" t="str">
        <f t="shared" si="2"/>
        <v/>
      </c>
      <c r="T91" s="17"/>
      <c r="U91" s="17"/>
    </row>
    <row r="92" spans="1:21" ht="14.25" customHeight="1">
      <c r="A92" s="34" t="str">
        <f>IF(ISBLANK(IDENTITAS!A108),"",IDENTITAS!A108)</f>
        <v/>
      </c>
      <c r="B92" s="34" t="str">
        <f>IF(ISBLANK(IDENTITAS!B108),"",IDENTITAS!B108)</f>
        <v/>
      </c>
      <c r="C92" s="35" t="str">
        <f>IF(ISBLANK(IDENTITAS!C108),"",IDENTITAS!C108)</f>
        <v/>
      </c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36" t="str">
        <f t="shared" si="0"/>
        <v/>
      </c>
      <c r="R92" s="36" t="str">
        <f t="shared" si="1"/>
        <v/>
      </c>
      <c r="S92" s="36" t="str">
        <f t="shared" si="2"/>
        <v/>
      </c>
      <c r="T92" s="17"/>
      <c r="U92" s="17"/>
    </row>
    <row r="93" spans="1:21" ht="14.25" customHeight="1">
      <c r="A93" s="34" t="str">
        <f>IF(ISBLANK(IDENTITAS!A109),"",IDENTITAS!A109)</f>
        <v/>
      </c>
      <c r="B93" s="34" t="str">
        <f>IF(ISBLANK(IDENTITAS!B109),"",IDENTITAS!B109)</f>
        <v/>
      </c>
      <c r="C93" s="35" t="str">
        <f>IF(ISBLANK(IDENTITAS!C109),"",IDENTITAS!C109)</f>
        <v/>
      </c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36" t="str">
        <f t="shared" si="0"/>
        <v/>
      </c>
      <c r="R93" s="36" t="str">
        <f t="shared" si="1"/>
        <v/>
      </c>
      <c r="S93" s="36" t="str">
        <f t="shared" si="2"/>
        <v/>
      </c>
      <c r="T93" s="17"/>
      <c r="U93" s="17"/>
    </row>
    <row r="94" spans="1:21" ht="14.25" customHeight="1">
      <c r="A94" s="34" t="str">
        <f>IF(ISBLANK(IDENTITAS!A110),"",IDENTITAS!A110)</f>
        <v/>
      </c>
      <c r="B94" s="34" t="str">
        <f>IF(ISBLANK(IDENTITAS!B110),"",IDENTITAS!B110)</f>
        <v/>
      </c>
      <c r="C94" s="35" t="str">
        <f>IF(ISBLANK(IDENTITAS!C110),"",IDENTITAS!C110)</f>
        <v/>
      </c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36" t="str">
        <f t="shared" si="0"/>
        <v/>
      </c>
      <c r="R94" s="36" t="str">
        <f t="shared" si="1"/>
        <v/>
      </c>
      <c r="S94" s="36" t="str">
        <f t="shared" si="2"/>
        <v/>
      </c>
      <c r="T94" s="17"/>
      <c r="U94" s="17"/>
    </row>
    <row r="95" spans="1:21" ht="14.25" customHeight="1">
      <c r="A95" s="34" t="str">
        <f>IF(ISBLANK(IDENTITAS!A111),"",IDENTITAS!A111)</f>
        <v/>
      </c>
      <c r="B95" s="34" t="str">
        <f>IF(ISBLANK(IDENTITAS!B111),"",IDENTITAS!B111)</f>
        <v/>
      </c>
      <c r="C95" s="35" t="str">
        <f>IF(ISBLANK(IDENTITAS!C111),"",IDENTITAS!C111)</f>
        <v/>
      </c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36" t="str">
        <f t="shared" si="0"/>
        <v/>
      </c>
      <c r="R95" s="36" t="str">
        <f t="shared" si="1"/>
        <v/>
      </c>
      <c r="S95" s="36" t="str">
        <f t="shared" si="2"/>
        <v/>
      </c>
      <c r="T95" s="17"/>
      <c r="U95" s="17"/>
    </row>
    <row r="96" spans="1:21" ht="14.25" customHeight="1">
      <c r="A96" s="34" t="str">
        <f>IF(ISBLANK(IDENTITAS!A112),"",IDENTITAS!A112)</f>
        <v/>
      </c>
      <c r="B96" s="34" t="str">
        <f>IF(ISBLANK(IDENTITAS!B112),"",IDENTITAS!B112)</f>
        <v/>
      </c>
      <c r="C96" s="35" t="str">
        <f>IF(ISBLANK(IDENTITAS!C112),"",IDENTITAS!C112)</f>
        <v/>
      </c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36" t="str">
        <f t="shared" si="0"/>
        <v/>
      </c>
      <c r="R96" s="36" t="str">
        <f t="shared" si="1"/>
        <v/>
      </c>
      <c r="S96" s="36" t="str">
        <f t="shared" si="2"/>
        <v/>
      </c>
      <c r="T96" s="17"/>
      <c r="U96" s="17"/>
    </row>
    <row r="97" spans="1:21" ht="14.25" customHeight="1">
      <c r="A97" s="34" t="str">
        <f>IF(ISBLANK(IDENTITAS!A113),"",IDENTITAS!A113)</f>
        <v/>
      </c>
      <c r="B97" s="34" t="str">
        <f>IF(ISBLANK(IDENTITAS!B113),"",IDENTITAS!B113)</f>
        <v/>
      </c>
      <c r="C97" s="35" t="str">
        <f>IF(ISBLANK(IDENTITAS!C113),"",IDENTITAS!C113)</f>
        <v/>
      </c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36" t="str">
        <f t="shared" si="0"/>
        <v/>
      </c>
      <c r="R97" s="36" t="str">
        <f t="shared" si="1"/>
        <v/>
      </c>
      <c r="S97" s="36" t="str">
        <f t="shared" si="2"/>
        <v/>
      </c>
      <c r="T97" s="17"/>
      <c r="U97" s="17"/>
    </row>
    <row r="98" spans="1:21" ht="14.25" customHeight="1">
      <c r="A98" s="34" t="str">
        <f>IF(ISBLANK(IDENTITAS!A114),"",IDENTITAS!A114)</f>
        <v/>
      </c>
      <c r="B98" s="34" t="str">
        <f>IF(ISBLANK(IDENTITAS!B114),"",IDENTITAS!B114)</f>
        <v/>
      </c>
      <c r="C98" s="35" t="str">
        <f>IF(ISBLANK(IDENTITAS!C114),"",IDENTITAS!C114)</f>
        <v/>
      </c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36" t="str">
        <f t="shared" si="0"/>
        <v/>
      </c>
      <c r="R98" s="36" t="str">
        <f t="shared" si="1"/>
        <v/>
      </c>
      <c r="S98" s="36" t="str">
        <f t="shared" si="2"/>
        <v/>
      </c>
      <c r="T98" s="17"/>
      <c r="U98" s="17"/>
    </row>
    <row r="99" spans="1:21" ht="14.25" customHeight="1">
      <c r="A99" s="34" t="str">
        <f>IF(ISBLANK(IDENTITAS!A115),"",IDENTITAS!A115)</f>
        <v/>
      </c>
      <c r="B99" s="34" t="str">
        <f>IF(ISBLANK(IDENTITAS!B115),"",IDENTITAS!B115)</f>
        <v/>
      </c>
      <c r="C99" s="35" t="str">
        <f>IF(ISBLANK(IDENTITAS!C115),"",IDENTITAS!C115)</f>
        <v/>
      </c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36" t="str">
        <f t="shared" si="0"/>
        <v/>
      </c>
      <c r="R99" s="36" t="str">
        <f t="shared" si="1"/>
        <v/>
      </c>
      <c r="S99" s="36" t="str">
        <f t="shared" si="2"/>
        <v/>
      </c>
      <c r="T99" s="17"/>
      <c r="U99" s="17"/>
    </row>
    <row r="100" spans="1:21" ht="14.25" customHeight="1">
      <c r="A100" s="34" t="str">
        <f>IF(ISBLANK(IDENTITAS!A116),"",IDENTITAS!A116)</f>
        <v/>
      </c>
      <c r="B100" s="34" t="str">
        <f>IF(ISBLANK(IDENTITAS!B116),"",IDENTITAS!B116)</f>
        <v/>
      </c>
      <c r="C100" s="35" t="str">
        <f>IF(ISBLANK(IDENTITAS!C116),"",IDENTITAS!C116)</f>
        <v/>
      </c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36" t="str">
        <f t="shared" si="0"/>
        <v/>
      </c>
      <c r="R100" s="36" t="str">
        <f t="shared" si="1"/>
        <v/>
      </c>
      <c r="S100" s="36" t="str">
        <f t="shared" si="2"/>
        <v/>
      </c>
      <c r="T100" s="17"/>
      <c r="U100" s="17"/>
    </row>
    <row r="101" spans="1:21" ht="14.25" customHeight="1">
      <c r="A101" s="34" t="str">
        <f>IF(ISBLANK(IDENTITAS!A117),"",IDENTITAS!A117)</f>
        <v/>
      </c>
      <c r="B101" s="34" t="str">
        <f>IF(ISBLANK(IDENTITAS!B117),"",IDENTITAS!B117)</f>
        <v/>
      </c>
      <c r="C101" s="35" t="str">
        <f>IF(ISBLANK(IDENTITAS!C117),"",IDENTITAS!C117)</f>
        <v/>
      </c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36" t="str">
        <f t="shared" si="0"/>
        <v/>
      </c>
      <c r="R101" s="36" t="str">
        <f t="shared" si="1"/>
        <v/>
      </c>
      <c r="S101" s="36" t="str">
        <f t="shared" si="2"/>
        <v/>
      </c>
      <c r="T101" s="17"/>
      <c r="U101" s="17"/>
    </row>
    <row r="102" spans="1:21" ht="14.25" customHeight="1">
      <c r="A102" s="34" t="str">
        <f>IF(ISBLANK(IDENTITAS!A118),"",IDENTITAS!A118)</f>
        <v/>
      </c>
      <c r="B102" s="34" t="str">
        <f>IF(ISBLANK(IDENTITAS!B118),"",IDENTITAS!B118)</f>
        <v/>
      </c>
      <c r="C102" s="35" t="str">
        <f>IF(ISBLANK(IDENTITAS!C118),"",IDENTITAS!C118)</f>
        <v/>
      </c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36" t="str">
        <f t="shared" si="0"/>
        <v/>
      </c>
      <c r="R102" s="36" t="str">
        <f t="shared" si="1"/>
        <v/>
      </c>
      <c r="S102" s="36" t="str">
        <f t="shared" si="2"/>
        <v/>
      </c>
      <c r="T102" s="17"/>
      <c r="U102" s="17"/>
    </row>
    <row r="103" spans="1:21" ht="14.25" customHeight="1">
      <c r="A103" s="34" t="str">
        <f>IF(ISBLANK(IDENTITAS!A119),"",IDENTITAS!A119)</f>
        <v/>
      </c>
      <c r="B103" s="34" t="str">
        <f>IF(ISBLANK(IDENTITAS!B119),"",IDENTITAS!B119)</f>
        <v/>
      </c>
      <c r="C103" s="35" t="str">
        <f>IF(ISBLANK(IDENTITAS!C119),"",IDENTITAS!C119)</f>
        <v/>
      </c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36" t="str">
        <f t="shared" si="0"/>
        <v/>
      </c>
      <c r="R103" s="36" t="str">
        <f t="shared" si="1"/>
        <v/>
      </c>
      <c r="S103" s="36" t="str">
        <f t="shared" si="2"/>
        <v/>
      </c>
      <c r="T103" s="17"/>
      <c r="U103" s="17"/>
    </row>
    <row r="104" spans="1:21" ht="14.25" customHeight="1">
      <c r="A104" s="34" t="str">
        <f>IF(ISBLANK(IDENTITAS!A120),"",IDENTITAS!A120)</f>
        <v/>
      </c>
      <c r="B104" s="34" t="str">
        <f>IF(ISBLANK(IDENTITAS!B120),"",IDENTITAS!B120)</f>
        <v/>
      </c>
      <c r="C104" s="35" t="str">
        <f>IF(ISBLANK(IDENTITAS!C120),"",IDENTITAS!C120)</f>
        <v/>
      </c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36" t="str">
        <f t="shared" si="0"/>
        <v/>
      </c>
      <c r="R104" s="36" t="str">
        <f t="shared" si="1"/>
        <v/>
      </c>
      <c r="S104" s="36" t="str">
        <f t="shared" si="2"/>
        <v/>
      </c>
      <c r="T104" s="17"/>
      <c r="U104" s="17"/>
    </row>
    <row r="105" spans="1:21" ht="14.25" customHeight="1">
      <c r="A105" s="131" t="s">
        <v>150</v>
      </c>
      <c r="B105" s="105"/>
      <c r="C105" s="99"/>
      <c r="D105" s="37">
        <f t="shared" ref="D105:P105" si="3">SUM(D5:D104)</f>
        <v>394</v>
      </c>
      <c r="E105" s="37">
        <f t="shared" si="3"/>
        <v>397</v>
      </c>
      <c r="F105" s="37">
        <f t="shared" si="3"/>
        <v>387</v>
      </c>
      <c r="G105" s="37">
        <f t="shared" si="3"/>
        <v>438</v>
      </c>
      <c r="H105" s="37">
        <f t="shared" si="3"/>
        <v>400</v>
      </c>
      <c r="I105" s="37">
        <f t="shared" si="3"/>
        <v>408</v>
      </c>
      <c r="J105" s="37">
        <f t="shared" si="3"/>
        <v>417</v>
      </c>
      <c r="K105" s="37">
        <f t="shared" si="3"/>
        <v>397</v>
      </c>
      <c r="L105" s="37">
        <f t="shared" si="3"/>
        <v>385</v>
      </c>
      <c r="M105" s="37">
        <f t="shared" si="3"/>
        <v>0</v>
      </c>
      <c r="N105" s="37">
        <f t="shared" si="3"/>
        <v>410</v>
      </c>
      <c r="O105" s="37">
        <f t="shared" si="3"/>
        <v>376</v>
      </c>
      <c r="P105" s="37">
        <f t="shared" si="3"/>
        <v>377</v>
      </c>
      <c r="Q105" s="37"/>
      <c r="R105" s="37"/>
      <c r="S105" s="7"/>
      <c r="T105" s="7"/>
      <c r="U105" s="7"/>
    </row>
    <row r="106" spans="1:21" ht="14.25" customHeight="1">
      <c r="A106" s="131" t="s">
        <v>151</v>
      </c>
      <c r="B106" s="105"/>
      <c r="C106" s="99"/>
      <c r="D106" s="16">
        <f t="shared" ref="D106:P106" si="4">IF(COUNTA(D5:D104)=0,"",ROUND(AVERAGE(D5:D104),2))</f>
        <v>78.8</v>
      </c>
      <c r="E106" s="16">
        <f t="shared" si="4"/>
        <v>79.400000000000006</v>
      </c>
      <c r="F106" s="16">
        <f t="shared" si="4"/>
        <v>77.400000000000006</v>
      </c>
      <c r="G106" s="16">
        <f t="shared" si="4"/>
        <v>87.6</v>
      </c>
      <c r="H106" s="16">
        <f t="shared" si="4"/>
        <v>80</v>
      </c>
      <c r="I106" s="16">
        <f t="shared" si="4"/>
        <v>81.599999999999994</v>
      </c>
      <c r="J106" s="16">
        <f t="shared" si="4"/>
        <v>83.4</v>
      </c>
      <c r="K106" s="16">
        <f t="shared" si="4"/>
        <v>79.400000000000006</v>
      </c>
      <c r="L106" s="16">
        <f t="shared" si="4"/>
        <v>77</v>
      </c>
      <c r="M106" s="16" t="str">
        <f t="shared" si="4"/>
        <v/>
      </c>
      <c r="N106" s="16">
        <f t="shared" si="4"/>
        <v>82</v>
      </c>
      <c r="O106" s="16">
        <f t="shared" si="4"/>
        <v>75.2</v>
      </c>
      <c r="P106" s="16">
        <f t="shared" si="4"/>
        <v>75.400000000000006</v>
      </c>
      <c r="Q106" s="16">
        <f>SUM(D106:P106)</f>
        <v>957.19999999999993</v>
      </c>
      <c r="R106" s="16">
        <f>ROUND(AVERAGE(R5:R104),2)</f>
        <v>79.77</v>
      </c>
    </row>
    <row r="107" spans="1:21" ht="14.25" customHeight="1"/>
    <row r="108" spans="1:21" ht="14.25" customHeight="1"/>
    <row r="109" spans="1:21" ht="14.25" customHeight="1"/>
    <row r="110" spans="1:21" ht="14.25" customHeight="1"/>
    <row r="111" spans="1:21" ht="14.25" customHeight="1"/>
    <row r="112" spans="1:2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1">
    <mergeCell ref="T1:T3"/>
    <mergeCell ref="U1:U3"/>
    <mergeCell ref="A105:C105"/>
    <mergeCell ref="A106:C106"/>
    <mergeCell ref="A1:A3"/>
    <mergeCell ref="B1:B3"/>
    <mergeCell ref="C1:C3"/>
    <mergeCell ref="D1:P1"/>
    <mergeCell ref="Q1:Q3"/>
    <mergeCell ref="R1:R3"/>
    <mergeCell ref="S1:S3"/>
  </mergeCells>
  <conditionalFormatting sqref="D5:P104">
    <cfRule type="expression" dxfId="0" priority="1" stopIfTrue="1">
      <formula>AND($C5&lt;&gt;"", D5="", COUNT(D$5:D$104)&gt;0)</formula>
    </cfRule>
  </conditionalFormatting>
  <pageMargins left="0.7" right="0.7" top="0.75" bottom="0.75" header="0" footer="0"/>
  <pageSetup paperSize="9"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5"/>
  <dimension ref="A1:K1000"/>
  <sheetViews>
    <sheetView topLeftCell="D37" workbookViewId="0">
      <selection activeCell="K14" sqref="K14"/>
    </sheetView>
  </sheetViews>
  <sheetFormatPr defaultColWidth="14.42578125" defaultRowHeight="15" customHeight="1"/>
  <cols>
    <col min="1" max="1" width="5" customWidth="1"/>
    <col min="2" max="2" width="8.7109375" customWidth="1"/>
    <col min="3" max="3" width="32.85546875" customWidth="1"/>
    <col min="4" max="4" width="10.140625" customWidth="1"/>
    <col min="5" max="5" width="10" customWidth="1"/>
    <col min="6" max="6" width="11.5703125" customWidth="1"/>
    <col min="7" max="10" width="8.7109375" customWidth="1"/>
    <col min="11" max="11" width="73.85546875" customWidth="1"/>
    <col min="12" max="26" width="8.7109375" customWidth="1"/>
  </cols>
  <sheetData>
    <row r="1" spans="1:11" ht="14.25" customHeight="1">
      <c r="A1" s="132" t="s">
        <v>148</v>
      </c>
      <c r="B1" s="132" t="s">
        <v>149</v>
      </c>
      <c r="C1" s="132" t="s">
        <v>109</v>
      </c>
      <c r="D1" s="133" t="s">
        <v>156</v>
      </c>
      <c r="E1" s="105"/>
      <c r="F1" s="99"/>
      <c r="G1" s="133" t="s">
        <v>157</v>
      </c>
      <c r="H1" s="105"/>
      <c r="I1" s="99"/>
      <c r="J1" s="132" t="s">
        <v>152</v>
      </c>
      <c r="K1" s="132" t="s">
        <v>158</v>
      </c>
    </row>
    <row r="2" spans="1:11" ht="16.5" customHeight="1">
      <c r="A2" s="103"/>
      <c r="B2" s="103"/>
      <c r="C2" s="103"/>
      <c r="D2" s="38" t="s">
        <v>159</v>
      </c>
      <c r="E2" s="38" t="s">
        <v>160</v>
      </c>
      <c r="F2" s="38" t="s">
        <v>161</v>
      </c>
      <c r="G2" s="39" t="s">
        <v>162</v>
      </c>
      <c r="H2" s="39" t="s">
        <v>163</v>
      </c>
      <c r="I2" s="39" t="s">
        <v>164</v>
      </c>
      <c r="J2" s="103"/>
      <c r="K2" s="103"/>
    </row>
    <row r="3" spans="1:11" ht="9" customHeight="1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</row>
    <row r="4" spans="1:11" ht="14.25" customHeight="1">
      <c r="A4" s="34">
        <f>IF(ISBLANK(IDENTITAS!A21),"",IDENTITAS!A21)</f>
        <v>1</v>
      </c>
      <c r="B4" s="34">
        <f>IF(ISBLANK(IDENTITAS!B21),"",IDENTITAS!B21)</f>
        <v>2345</v>
      </c>
      <c r="C4" s="35" t="str">
        <f>IF(ISBLANK(IDENTITAS!C21),"",IDENTITAS!C21)</f>
        <v>SANTRI 1</v>
      </c>
      <c r="D4" s="17" t="s">
        <v>165</v>
      </c>
      <c r="E4" s="17" t="s">
        <v>165</v>
      </c>
      <c r="F4" s="17" t="s">
        <v>165</v>
      </c>
      <c r="G4" s="17">
        <v>2</v>
      </c>
      <c r="H4" s="17">
        <v>1</v>
      </c>
      <c r="I4" s="17">
        <v>0</v>
      </c>
      <c r="J4" s="34">
        <f>IF(ISBLANK(NILAI!S5),"",NILAI!S5)</f>
        <v>1</v>
      </c>
      <c r="K4" s="2" t="s">
        <v>289</v>
      </c>
    </row>
    <row r="5" spans="1:11" ht="14.25" customHeight="1">
      <c r="A5" s="34">
        <f>IF(ISBLANK(IDENTITAS!A22),"",IDENTITAS!A22)</f>
        <v>2</v>
      </c>
      <c r="B5" s="34">
        <f>IF(ISBLANK(IDENTITAS!B22),"",IDENTITAS!B22)</f>
        <v>2346</v>
      </c>
      <c r="C5" s="35" t="str">
        <f>IF(ISBLANK(IDENTITAS!C22),"",IDENTITAS!C22)</f>
        <v>SANTRI 2</v>
      </c>
      <c r="D5" s="17" t="s">
        <v>165</v>
      </c>
      <c r="E5" s="17" t="s">
        <v>165</v>
      </c>
      <c r="F5" s="17" t="s">
        <v>165</v>
      </c>
      <c r="G5" s="17">
        <v>3</v>
      </c>
      <c r="H5" s="17">
        <v>0</v>
      </c>
      <c r="I5" s="17">
        <v>0</v>
      </c>
      <c r="J5" s="34">
        <f>IF(ISBLANK(NILAI!S6),"",NILAI!S6)</f>
        <v>3</v>
      </c>
      <c r="K5" s="2" t="s">
        <v>166</v>
      </c>
    </row>
    <row r="6" spans="1:11" ht="14.25" customHeight="1">
      <c r="A6" s="34">
        <f>IF(ISBLANK(IDENTITAS!A23),"",IDENTITAS!A23)</f>
        <v>3</v>
      </c>
      <c r="B6" s="34">
        <f>IF(ISBLANK(IDENTITAS!B23),"",IDENTITAS!B23)</f>
        <v>2347</v>
      </c>
      <c r="C6" s="35" t="str">
        <f>IF(ISBLANK(IDENTITAS!C23),"",IDENTITAS!C23)</f>
        <v>SANTRI 3</v>
      </c>
      <c r="D6" s="17" t="s">
        <v>165</v>
      </c>
      <c r="E6" s="17" t="s">
        <v>165</v>
      </c>
      <c r="F6" s="17" t="s">
        <v>165</v>
      </c>
      <c r="G6" s="17">
        <v>0</v>
      </c>
      <c r="H6" s="17">
        <v>0</v>
      </c>
      <c r="I6" s="17">
        <v>0</v>
      </c>
      <c r="J6" s="34">
        <f>IF(ISBLANK(NILAI!S7),"",NILAI!S7)</f>
        <v>4</v>
      </c>
      <c r="K6" s="2" t="s">
        <v>167</v>
      </c>
    </row>
    <row r="7" spans="1:11" ht="14.25" customHeight="1">
      <c r="A7" s="34">
        <f>IF(ISBLANK(IDENTITAS!A24),"",IDENTITAS!A24)</f>
        <v>4</v>
      </c>
      <c r="B7" s="34">
        <f>IF(ISBLANK(IDENTITAS!B24),"",IDENTITAS!B24)</f>
        <v>2348</v>
      </c>
      <c r="C7" s="35" t="str">
        <f>IF(ISBLANK(IDENTITAS!C24),"",IDENTITAS!C24)</f>
        <v>SANTRI 4</v>
      </c>
      <c r="D7" s="17" t="s">
        <v>165</v>
      </c>
      <c r="E7" s="17" t="s">
        <v>165</v>
      </c>
      <c r="F7" s="17" t="s">
        <v>165</v>
      </c>
      <c r="G7" s="17">
        <v>0</v>
      </c>
      <c r="H7" s="17">
        <v>5</v>
      </c>
      <c r="I7" s="17">
        <v>2</v>
      </c>
      <c r="J7" s="34">
        <f>IF(ISBLANK(NILAI!S8),"",NILAI!S8)</f>
        <v>2</v>
      </c>
      <c r="K7" s="2" t="s">
        <v>168</v>
      </c>
    </row>
    <row r="8" spans="1:11" ht="14.25" customHeight="1">
      <c r="A8" s="34">
        <f>IF(ISBLANK(IDENTITAS!A25),"",IDENTITAS!A25)</f>
        <v>5</v>
      </c>
      <c r="B8" s="34">
        <f>IF(ISBLANK(IDENTITAS!B25),"",IDENTITAS!B25)</f>
        <v>2349</v>
      </c>
      <c r="C8" s="35" t="str">
        <f>IF(ISBLANK(IDENTITAS!C25),"",IDENTITAS!C25)</f>
        <v>SANTRI 5</v>
      </c>
      <c r="D8" s="17" t="s">
        <v>165</v>
      </c>
      <c r="E8" s="17" t="s">
        <v>165</v>
      </c>
      <c r="F8" s="17" t="s">
        <v>165</v>
      </c>
      <c r="G8" s="17">
        <v>4</v>
      </c>
      <c r="H8" s="17">
        <v>2</v>
      </c>
      <c r="I8" s="17">
        <v>3</v>
      </c>
      <c r="J8" s="34">
        <f>IF(ISBLANK(NILAI!S9),"",NILAI!S9)</f>
        <v>5</v>
      </c>
      <c r="K8" s="2" t="s">
        <v>169</v>
      </c>
    </row>
    <row r="9" spans="1:11" ht="14.25" customHeight="1">
      <c r="A9" s="34" t="str">
        <f>IF(ISBLANK(IDENTITAS!A26),"",IDENTITAS!A26)</f>
        <v/>
      </c>
      <c r="B9" s="34" t="str">
        <f>IF(ISBLANK(IDENTITAS!B26),"",IDENTITAS!B26)</f>
        <v/>
      </c>
      <c r="C9" s="35" t="str">
        <f>IF(ISBLANK(IDENTITAS!C26),"",IDENTITAS!C26)</f>
        <v/>
      </c>
      <c r="D9" s="17"/>
      <c r="E9" s="17"/>
      <c r="F9" s="17"/>
      <c r="G9" s="17"/>
      <c r="H9" s="17"/>
      <c r="I9" s="17"/>
      <c r="J9" s="34" t="str">
        <f>IF(ISBLANK(NILAI!S10),"",NILAI!S10)</f>
        <v/>
      </c>
      <c r="K9" s="2"/>
    </row>
    <row r="10" spans="1:11" ht="14.25" customHeight="1">
      <c r="A10" s="34" t="str">
        <f>IF(ISBLANK(IDENTITAS!A27),"",IDENTITAS!A27)</f>
        <v/>
      </c>
      <c r="B10" s="34" t="str">
        <f>IF(ISBLANK(IDENTITAS!B27),"",IDENTITAS!B27)</f>
        <v/>
      </c>
      <c r="C10" s="35" t="str">
        <f>IF(ISBLANK(IDENTITAS!C27),"",IDENTITAS!C27)</f>
        <v/>
      </c>
      <c r="D10" s="17"/>
      <c r="E10" s="17"/>
      <c r="F10" s="17"/>
      <c r="G10" s="17"/>
      <c r="H10" s="17"/>
      <c r="I10" s="17"/>
      <c r="J10" s="34" t="str">
        <f>IF(ISBLANK(NILAI!S11),"",NILAI!S11)</f>
        <v/>
      </c>
      <c r="K10" s="2"/>
    </row>
    <row r="11" spans="1:11" ht="14.25" customHeight="1">
      <c r="A11" s="34" t="str">
        <f>IF(ISBLANK(IDENTITAS!A28),"",IDENTITAS!A28)</f>
        <v/>
      </c>
      <c r="B11" s="34" t="str">
        <f>IF(ISBLANK(IDENTITAS!B28),"",IDENTITAS!B28)</f>
        <v/>
      </c>
      <c r="C11" s="35" t="str">
        <f>IF(ISBLANK(IDENTITAS!C28),"",IDENTITAS!C28)</f>
        <v/>
      </c>
      <c r="D11" s="17"/>
      <c r="E11" s="17"/>
      <c r="F11" s="17"/>
      <c r="G11" s="17"/>
      <c r="H11" s="17"/>
      <c r="I11" s="17"/>
      <c r="J11" s="34" t="str">
        <f>IF(ISBLANK(NILAI!S12),"",NILAI!S12)</f>
        <v/>
      </c>
      <c r="K11" s="2"/>
    </row>
    <row r="12" spans="1:11" ht="14.25" customHeight="1">
      <c r="A12" s="34" t="str">
        <f>IF(ISBLANK(IDENTITAS!A29),"",IDENTITAS!A29)</f>
        <v/>
      </c>
      <c r="B12" s="34" t="str">
        <f>IF(ISBLANK(IDENTITAS!B29),"",IDENTITAS!B29)</f>
        <v/>
      </c>
      <c r="C12" s="35" t="str">
        <f>IF(ISBLANK(IDENTITAS!C29),"",IDENTITAS!C29)</f>
        <v/>
      </c>
      <c r="D12" s="17"/>
      <c r="E12" s="17"/>
      <c r="F12" s="17"/>
      <c r="G12" s="17"/>
      <c r="H12" s="17"/>
      <c r="I12" s="17"/>
      <c r="J12" s="34" t="str">
        <f>IF(ISBLANK(NILAI!S13),"",NILAI!S13)</f>
        <v/>
      </c>
      <c r="K12" s="2"/>
    </row>
    <row r="13" spans="1:11" ht="14.25" customHeight="1">
      <c r="A13" s="34" t="str">
        <f>IF(ISBLANK(IDENTITAS!A30),"",IDENTITAS!A30)</f>
        <v/>
      </c>
      <c r="B13" s="34" t="str">
        <f>IF(ISBLANK(IDENTITAS!B30),"",IDENTITAS!B30)</f>
        <v/>
      </c>
      <c r="C13" s="35" t="str">
        <f>IF(ISBLANK(IDENTITAS!C30),"",IDENTITAS!C30)</f>
        <v/>
      </c>
      <c r="D13" s="17"/>
      <c r="E13" s="17"/>
      <c r="F13" s="17"/>
      <c r="G13" s="17"/>
      <c r="H13" s="17"/>
      <c r="I13" s="17"/>
      <c r="J13" s="34" t="str">
        <f>IF(ISBLANK(NILAI!S14),"",NILAI!S14)</f>
        <v/>
      </c>
      <c r="K13" s="2"/>
    </row>
    <row r="14" spans="1:11" ht="14.25" customHeight="1">
      <c r="A14" s="34" t="str">
        <f>IF(ISBLANK(IDENTITAS!A31),"",IDENTITAS!A31)</f>
        <v/>
      </c>
      <c r="B14" s="34" t="str">
        <f>IF(ISBLANK(IDENTITAS!B31),"",IDENTITAS!B31)</f>
        <v/>
      </c>
      <c r="C14" s="35" t="str">
        <f>IF(ISBLANK(IDENTITAS!C31),"",IDENTITAS!C31)</f>
        <v/>
      </c>
      <c r="D14" s="17"/>
      <c r="E14" s="17"/>
      <c r="F14" s="17"/>
      <c r="G14" s="17"/>
      <c r="H14" s="17"/>
      <c r="I14" s="17"/>
      <c r="J14" s="34" t="str">
        <f>IF(ISBLANK(NILAI!S15),"",NILAI!S15)</f>
        <v/>
      </c>
      <c r="K14" s="2"/>
    </row>
    <row r="15" spans="1:11" ht="14.25" customHeight="1">
      <c r="A15" s="34" t="str">
        <f>IF(ISBLANK(IDENTITAS!A32),"",IDENTITAS!A32)</f>
        <v/>
      </c>
      <c r="B15" s="34" t="str">
        <f>IF(ISBLANK(IDENTITAS!B32),"",IDENTITAS!B32)</f>
        <v/>
      </c>
      <c r="C15" s="35" t="str">
        <f>IF(ISBLANK(IDENTITAS!C32),"",IDENTITAS!C32)</f>
        <v/>
      </c>
      <c r="D15" s="17"/>
      <c r="E15" s="17"/>
      <c r="F15" s="17"/>
      <c r="G15" s="17"/>
      <c r="H15" s="17"/>
      <c r="I15" s="17"/>
      <c r="J15" s="34" t="str">
        <f>IF(ISBLANK(NILAI!S16),"",NILAI!S16)</f>
        <v/>
      </c>
      <c r="K15" s="2"/>
    </row>
    <row r="16" spans="1:11" ht="14.25" customHeight="1">
      <c r="A16" s="34" t="str">
        <f>IF(ISBLANK(IDENTITAS!A33),"",IDENTITAS!A33)</f>
        <v/>
      </c>
      <c r="B16" s="34" t="str">
        <f>IF(ISBLANK(IDENTITAS!B33),"",IDENTITAS!B33)</f>
        <v/>
      </c>
      <c r="C16" s="35" t="str">
        <f>IF(ISBLANK(IDENTITAS!C33),"",IDENTITAS!C33)</f>
        <v/>
      </c>
      <c r="D16" s="17"/>
      <c r="E16" s="17"/>
      <c r="F16" s="17"/>
      <c r="G16" s="17"/>
      <c r="H16" s="17"/>
      <c r="I16" s="17"/>
      <c r="J16" s="34" t="str">
        <f>IF(ISBLANK(NILAI!S17),"",NILAI!S17)</f>
        <v/>
      </c>
      <c r="K16" s="2"/>
    </row>
    <row r="17" spans="1:11" ht="14.25" customHeight="1">
      <c r="A17" s="34" t="str">
        <f>IF(ISBLANK(IDENTITAS!A34),"",IDENTITAS!A34)</f>
        <v/>
      </c>
      <c r="B17" s="34" t="str">
        <f>IF(ISBLANK(IDENTITAS!B34),"",IDENTITAS!B34)</f>
        <v/>
      </c>
      <c r="C17" s="35" t="str">
        <f>IF(ISBLANK(IDENTITAS!C34),"",IDENTITAS!C34)</f>
        <v/>
      </c>
      <c r="D17" s="17"/>
      <c r="E17" s="17"/>
      <c r="F17" s="17"/>
      <c r="G17" s="17"/>
      <c r="H17" s="17"/>
      <c r="I17" s="17"/>
      <c r="J17" s="34" t="str">
        <f>IF(ISBLANK(NILAI!S18),"",NILAI!S18)</f>
        <v/>
      </c>
      <c r="K17" s="2"/>
    </row>
    <row r="18" spans="1:11" ht="14.25" customHeight="1">
      <c r="A18" s="34" t="str">
        <f>IF(ISBLANK(IDENTITAS!A35),"",IDENTITAS!A35)</f>
        <v/>
      </c>
      <c r="B18" s="34" t="str">
        <f>IF(ISBLANK(IDENTITAS!B35),"",IDENTITAS!B35)</f>
        <v/>
      </c>
      <c r="C18" s="35" t="str">
        <f>IF(ISBLANK(IDENTITAS!C35),"",IDENTITAS!C35)</f>
        <v/>
      </c>
      <c r="D18" s="17"/>
      <c r="E18" s="17"/>
      <c r="F18" s="17"/>
      <c r="G18" s="17"/>
      <c r="H18" s="17"/>
      <c r="I18" s="17"/>
      <c r="J18" s="34" t="str">
        <f>IF(ISBLANK(NILAI!S19),"",NILAI!S19)</f>
        <v/>
      </c>
      <c r="K18" s="2"/>
    </row>
    <row r="19" spans="1:11" ht="14.25" customHeight="1">
      <c r="A19" s="34" t="str">
        <f>IF(ISBLANK(IDENTITAS!A36),"",IDENTITAS!A36)</f>
        <v/>
      </c>
      <c r="B19" s="34" t="str">
        <f>IF(ISBLANK(IDENTITAS!B36),"",IDENTITAS!B36)</f>
        <v/>
      </c>
      <c r="C19" s="35" t="str">
        <f>IF(ISBLANK(IDENTITAS!C36),"",IDENTITAS!C36)</f>
        <v/>
      </c>
      <c r="D19" s="17"/>
      <c r="E19" s="17"/>
      <c r="F19" s="17"/>
      <c r="G19" s="17"/>
      <c r="H19" s="17"/>
      <c r="I19" s="17"/>
      <c r="J19" s="34" t="str">
        <f>IF(ISBLANK(NILAI!S20),"",NILAI!S20)</f>
        <v/>
      </c>
      <c r="K19" s="2"/>
    </row>
    <row r="20" spans="1:11" ht="14.25" customHeight="1">
      <c r="A20" s="34" t="str">
        <f>IF(ISBLANK(IDENTITAS!A37),"",IDENTITAS!A37)</f>
        <v/>
      </c>
      <c r="B20" s="34" t="str">
        <f>IF(ISBLANK(IDENTITAS!B37),"",IDENTITAS!B37)</f>
        <v/>
      </c>
      <c r="C20" s="35" t="str">
        <f>IF(ISBLANK(IDENTITAS!C37),"",IDENTITAS!C37)</f>
        <v/>
      </c>
      <c r="D20" s="17"/>
      <c r="E20" s="17"/>
      <c r="F20" s="17"/>
      <c r="G20" s="17"/>
      <c r="H20" s="17"/>
      <c r="I20" s="17"/>
      <c r="J20" s="34" t="str">
        <f>IF(ISBLANK(NILAI!S21),"",NILAI!S21)</f>
        <v/>
      </c>
      <c r="K20" s="2"/>
    </row>
    <row r="21" spans="1:11" ht="14.25" customHeight="1">
      <c r="A21" s="34" t="str">
        <f>IF(ISBLANK(IDENTITAS!A38),"",IDENTITAS!A38)</f>
        <v/>
      </c>
      <c r="B21" s="34" t="str">
        <f>IF(ISBLANK(IDENTITAS!B38),"",IDENTITAS!B38)</f>
        <v/>
      </c>
      <c r="C21" s="35" t="str">
        <f>IF(ISBLANK(IDENTITAS!C38),"",IDENTITAS!C38)</f>
        <v/>
      </c>
      <c r="D21" s="17"/>
      <c r="E21" s="17"/>
      <c r="F21" s="17"/>
      <c r="G21" s="17"/>
      <c r="H21" s="17"/>
      <c r="I21" s="17"/>
      <c r="J21" s="34" t="str">
        <f>IF(ISBLANK(NILAI!S22),"",NILAI!S22)</f>
        <v/>
      </c>
      <c r="K21" s="2"/>
    </row>
    <row r="22" spans="1:11" ht="14.25" customHeight="1">
      <c r="A22" s="34" t="str">
        <f>IF(ISBLANK(IDENTITAS!A39),"",IDENTITAS!A39)</f>
        <v/>
      </c>
      <c r="B22" s="34" t="str">
        <f>IF(ISBLANK(IDENTITAS!B39),"",IDENTITAS!B39)</f>
        <v/>
      </c>
      <c r="C22" s="35" t="str">
        <f>IF(ISBLANK(IDENTITAS!C39),"",IDENTITAS!C39)</f>
        <v/>
      </c>
      <c r="D22" s="17"/>
      <c r="E22" s="17"/>
      <c r="F22" s="17"/>
      <c r="G22" s="17"/>
      <c r="H22" s="17"/>
      <c r="I22" s="17"/>
      <c r="J22" s="34" t="str">
        <f>IF(ISBLANK(NILAI!S23),"",NILAI!S23)</f>
        <v/>
      </c>
      <c r="K22" s="2"/>
    </row>
    <row r="23" spans="1:11" ht="14.25" customHeight="1">
      <c r="A23" s="34" t="str">
        <f>IF(ISBLANK(IDENTITAS!A40),"",IDENTITAS!A40)</f>
        <v/>
      </c>
      <c r="B23" s="34" t="str">
        <f>IF(ISBLANK(IDENTITAS!B40),"",IDENTITAS!B40)</f>
        <v/>
      </c>
      <c r="C23" s="35" t="str">
        <f>IF(ISBLANK(IDENTITAS!C40),"",IDENTITAS!C40)</f>
        <v/>
      </c>
      <c r="D23" s="17"/>
      <c r="E23" s="17"/>
      <c r="F23" s="17"/>
      <c r="G23" s="17"/>
      <c r="H23" s="17"/>
      <c r="I23" s="17"/>
      <c r="J23" s="34" t="str">
        <f>IF(ISBLANK(NILAI!S24),"",NILAI!S24)</f>
        <v/>
      </c>
      <c r="K23" s="2"/>
    </row>
    <row r="24" spans="1:11" ht="14.25" customHeight="1">
      <c r="A24" s="34" t="str">
        <f>IF(ISBLANK(IDENTITAS!A41),"",IDENTITAS!A41)</f>
        <v/>
      </c>
      <c r="B24" s="34" t="str">
        <f>IF(ISBLANK(IDENTITAS!B41),"",IDENTITAS!B41)</f>
        <v/>
      </c>
      <c r="C24" s="35" t="str">
        <f>IF(ISBLANK(IDENTITAS!C41),"",IDENTITAS!C41)</f>
        <v/>
      </c>
      <c r="D24" s="17"/>
      <c r="E24" s="17"/>
      <c r="F24" s="17"/>
      <c r="G24" s="17"/>
      <c r="H24" s="17"/>
      <c r="I24" s="17"/>
      <c r="J24" s="34" t="str">
        <f>IF(ISBLANK(NILAI!S25),"",NILAI!S25)</f>
        <v/>
      </c>
      <c r="K24" s="2"/>
    </row>
    <row r="25" spans="1:11" ht="14.25" customHeight="1">
      <c r="A25" s="34" t="str">
        <f>IF(ISBLANK(IDENTITAS!A42),"",IDENTITAS!A42)</f>
        <v/>
      </c>
      <c r="B25" s="34" t="str">
        <f>IF(ISBLANK(IDENTITAS!B42),"",IDENTITAS!B42)</f>
        <v/>
      </c>
      <c r="C25" s="35" t="str">
        <f>IF(ISBLANK(IDENTITAS!C42),"",IDENTITAS!C42)</f>
        <v/>
      </c>
      <c r="D25" s="17"/>
      <c r="E25" s="17"/>
      <c r="F25" s="17"/>
      <c r="G25" s="17"/>
      <c r="H25" s="17"/>
      <c r="I25" s="17"/>
      <c r="J25" s="34" t="str">
        <f>IF(ISBLANK(NILAI!S26),"",NILAI!S26)</f>
        <v/>
      </c>
      <c r="K25" s="2"/>
    </row>
    <row r="26" spans="1:11" ht="14.25" customHeight="1">
      <c r="A26" s="34" t="str">
        <f>IF(ISBLANK(IDENTITAS!A43),"",IDENTITAS!A43)</f>
        <v/>
      </c>
      <c r="B26" s="34" t="str">
        <f>IF(ISBLANK(IDENTITAS!B43),"",IDENTITAS!B43)</f>
        <v/>
      </c>
      <c r="C26" s="35" t="str">
        <f>IF(ISBLANK(IDENTITAS!C43),"",IDENTITAS!C43)</f>
        <v/>
      </c>
      <c r="D26" s="17"/>
      <c r="E26" s="17"/>
      <c r="F26" s="17"/>
      <c r="G26" s="17"/>
      <c r="H26" s="17"/>
      <c r="I26" s="17"/>
      <c r="J26" s="34" t="str">
        <f>IF(ISBLANK(NILAI!S27),"",NILAI!S27)</f>
        <v/>
      </c>
      <c r="K26" s="2"/>
    </row>
    <row r="27" spans="1:11" ht="14.25" customHeight="1">
      <c r="A27" s="34" t="str">
        <f>IF(ISBLANK(IDENTITAS!A44),"",IDENTITAS!A44)</f>
        <v/>
      </c>
      <c r="B27" s="34" t="str">
        <f>IF(ISBLANK(IDENTITAS!B44),"",IDENTITAS!B44)</f>
        <v/>
      </c>
      <c r="C27" s="35" t="str">
        <f>IF(ISBLANK(IDENTITAS!C44),"",IDENTITAS!C44)</f>
        <v/>
      </c>
      <c r="D27" s="17"/>
      <c r="E27" s="17"/>
      <c r="F27" s="17"/>
      <c r="G27" s="17"/>
      <c r="H27" s="17"/>
      <c r="I27" s="17"/>
      <c r="J27" s="34" t="str">
        <f>IF(ISBLANK(NILAI!S28),"",NILAI!S28)</f>
        <v/>
      </c>
      <c r="K27" s="2"/>
    </row>
    <row r="28" spans="1:11" ht="14.25" customHeight="1">
      <c r="A28" s="34" t="str">
        <f>IF(ISBLANK(IDENTITAS!A45),"",IDENTITAS!A45)</f>
        <v/>
      </c>
      <c r="B28" s="34" t="str">
        <f>IF(ISBLANK(IDENTITAS!B45),"",IDENTITAS!B45)</f>
        <v/>
      </c>
      <c r="C28" s="35" t="str">
        <f>IF(ISBLANK(IDENTITAS!C45),"",IDENTITAS!C45)</f>
        <v/>
      </c>
      <c r="D28" s="17"/>
      <c r="E28" s="17"/>
      <c r="F28" s="17"/>
      <c r="G28" s="17"/>
      <c r="H28" s="17"/>
      <c r="I28" s="17"/>
      <c r="J28" s="34" t="str">
        <f>IF(ISBLANK(NILAI!S29),"",NILAI!S29)</f>
        <v/>
      </c>
      <c r="K28" s="2"/>
    </row>
    <row r="29" spans="1:11" ht="14.25" customHeight="1">
      <c r="A29" s="34" t="str">
        <f>IF(ISBLANK(IDENTITAS!A46),"",IDENTITAS!A46)</f>
        <v/>
      </c>
      <c r="B29" s="34" t="str">
        <f>IF(ISBLANK(IDENTITAS!B46),"",IDENTITAS!B46)</f>
        <v/>
      </c>
      <c r="C29" s="35" t="str">
        <f>IF(ISBLANK(IDENTITAS!C46),"",IDENTITAS!C46)</f>
        <v/>
      </c>
      <c r="D29" s="17"/>
      <c r="E29" s="17"/>
      <c r="F29" s="17"/>
      <c r="G29" s="17"/>
      <c r="H29" s="17"/>
      <c r="I29" s="17"/>
      <c r="J29" s="34" t="str">
        <f>IF(ISBLANK(NILAI!S30),"",NILAI!S30)</f>
        <v/>
      </c>
      <c r="K29" s="2"/>
    </row>
    <row r="30" spans="1:11" ht="14.25" customHeight="1">
      <c r="A30" s="34" t="str">
        <f>IF(ISBLANK(IDENTITAS!A47),"",IDENTITAS!A47)</f>
        <v/>
      </c>
      <c r="B30" s="34" t="str">
        <f>IF(ISBLANK(IDENTITAS!B47),"",IDENTITAS!B47)</f>
        <v/>
      </c>
      <c r="C30" s="35" t="str">
        <f>IF(ISBLANK(IDENTITAS!C47),"",IDENTITAS!C47)</f>
        <v/>
      </c>
      <c r="D30" s="17"/>
      <c r="E30" s="17"/>
      <c r="F30" s="17"/>
      <c r="G30" s="17"/>
      <c r="H30" s="17"/>
      <c r="I30" s="17"/>
      <c r="J30" s="34" t="str">
        <f>IF(ISBLANK(NILAI!S31),"",NILAI!S31)</f>
        <v/>
      </c>
      <c r="K30" s="2"/>
    </row>
    <row r="31" spans="1:11" ht="14.25" customHeight="1">
      <c r="A31" s="34" t="str">
        <f>IF(ISBLANK(IDENTITAS!A48),"",IDENTITAS!A48)</f>
        <v/>
      </c>
      <c r="B31" s="34" t="str">
        <f>IF(ISBLANK(IDENTITAS!B48),"",IDENTITAS!B48)</f>
        <v/>
      </c>
      <c r="C31" s="35" t="str">
        <f>IF(ISBLANK(IDENTITAS!C48),"",IDENTITAS!C48)</f>
        <v/>
      </c>
      <c r="D31" s="17"/>
      <c r="E31" s="17"/>
      <c r="F31" s="17"/>
      <c r="G31" s="17"/>
      <c r="H31" s="17"/>
      <c r="I31" s="17"/>
      <c r="J31" s="34" t="str">
        <f>IF(ISBLANK(NILAI!S32),"",NILAI!S32)</f>
        <v/>
      </c>
      <c r="K31" s="2"/>
    </row>
    <row r="32" spans="1:11" ht="14.25" customHeight="1">
      <c r="A32" s="34" t="str">
        <f>IF(ISBLANK(IDENTITAS!A49),"",IDENTITAS!A49)</f>
        <v/>
      </c>
      <c r="B32" s="34" t="str">
        <f>IF(ISBLANK(IDENTITAS!B49),"",IDENTITAS!B49)</f>
        <v/>
      </c>
      <c r="C32" s="35" t="str">
        <f>IF(ISBLANK(IDENTITAS!C49),"",IDENTITAS!C49)</f>
        <v/>
      </c>
      <c r="D32" s="17"/>
      <c r="E32" s="17"/>
      <c r="F32" s="17"/>
      <c r="G32" s="17"/>
      <c r="H32" s="17"/>
      <c r="I32" s="17"/>
      <c r="J32" s="34" t="str">
        <f>IF(ISBLANK(NILAI!S33),"",NILAI!S33)</f>
        <v/>
      </c>
      <c r="K32" s="2"/>
    </row>
    <row r="33" spans="1:11" ht="14.25" customHeight="1">
      <c r="A33" s="34" t="str">
        <f>IF(ISBLANK(IDENTITAS!A50),"",IDENTITAS!A50)</f>
        <v/>
      </c>
      <c r="B33" s="34" t="str">
        <f>IF(ISBLANK(IDENTITAS!B50),"",IDENTITAS!B50)</f>
        <v/>
      </c>
      <c r="C33" s="35" t="str">
        <f>IF(ISBLANK(IDENTITAS!C50),"",IDENTITAS!C50)</f>
        <v/>
      </c>
      <c r="D33" s="17"/>
      <c r="E33" s="17"/>
      <c r="F33" s="17"/>
      <c r="G33" s="17"/>
      <c r="H33" s="17"/>
      <c r="I33" s="17"/>
      <c r="J33" s="34" t="str">
        <f>IF(ISBLANK(NILAI!S34),"",NILAI!S34)</f>
        <v/>
      </c>
      <c r="K33" s="2"/>
    </row>
    <row r="34" spans="1:11" ht="14.25" customHeight="1">
      <c r="A34" s="34" t="str">
        <f>IF(ISBLANK(IDENTITAS!A51),"",IDENTITAS!A51)</f>
        <v/>
      </c>
      <c r="B34" s="34" t="str">
        <f>IF(ISBLANK(IDENTITAS!B51),"",IDENTITAS!B51)</f>
        <v/>
      </c>
      <c r="C34" s="35" t="str">
        <f>IF(ISBLANK(IDENTITAS!C51),"",IDENTITAS!C51)</f>
        <v/>
      </c>
      <c r="D34" s="17"/>
      <c r="E34" s="17"/>
      <c r="F34" s="17"/>
      <c r="G34" s="17"/>
      <c r="H34" s="17"/>
      <c r="I34" s="17"/>
      <c r="J34" s="34" t="str">
        <f>IF(ISBLANK(NILAI!S35),"",NILAI!S35)</f>
        <v/>
      </c>
      <c r="K34" s="2"/>
    </row>
    <row r="35" spans="1:11" ht="14.25" customHeight="1">
      <c r="A35" s="34" t="str">
        <f>IF(ISBLANK(IDENTITAS!A52),"",IDENTITAS!A52)</f>
        <v/>
      </c>
      <c r="B35" s="34" t="str">
        <f>IF(ISBLANK(IDENTITAS!B52),"",IDENTITAS!B52)</f>
        <v/>
      </c>
      <c r="C35" s="35" t="str">
        <f>IF(ISBLANK(IDENTITAS!C52),"",IDENTITAS!C52)</f>
        <v/>
      </c>
      <c r="D35" s="17"/>
      <c r="E35" s="17"/>
      <c r="F35" s="17"/>
      <c r="G35" s="17"/>
      <c r="H35" s="17"/>
      <c r="I35" s="17"/>
      <c r="J35" s="34" t="str">
        <f>IF(ISBLANK(NILAI!S36),"",NILAI!S36)</f>
        <v/>
      </c>
      <c r="K35" s="2"/>
    </row>
    <row r="36" spans="1:11" ht="14.25" customHeight="1">
      <c r="A36" s="34" t="str">
        <f>IF(ISBLANK(IDENTITAS!A53),"",IDENTITAS!A53)</f>
        <v/>
      </c>
      <c r="B36" s="34" t="str">
        <f>IF(ISBLANK(IDENTITAS!B53),"",IDENTITAS!B53)</f>
        <v/>
      </c>
      <c r="C36" s="35" t="str">
        <f>IF(ISBLANK(IDENTITAS!C53),"",IDENTITAS!C53)</f>
        <v/>
      </c>
      <c r="D36" s="17"/>
      <c r="E36" s="17"/>
      <c r="F36" s="17"/>
      <c r="G36" s="17"/>
      <c r="H36" s="17"/>
      <c r="I36" s="17"/>
      <c r="J36" s="34" t="str">
        <f>IF(ISBLANK(NILAI!S37),"",NILAI!S37)</f>
        <v/>
      </c>
      <c r="K36" s="2"/>
    </row>
    <row r="37" spans="1:11" ht="14.25" customHeight="1">
      <c r="A37" s="34" t="str">
        <f>IF(ISBLANK(IDENTITAS!A54),"",IDENTITAS!A54)</f>
        <v/>
      </c>
      <c r="B37" s="34" t="str">
        <f>IF(ISBLANK(IDENTITAS!B54),"",IDENTITAS!B54)</f>
        <v/>
      </c>
      <c r="C37" s="35" t="str">
        <f>IF(ISBLANK(IDENTITAS!C54),"",IDENTITAS!C54)</f>
        <v/>
      </c>
      <c r="D37" s="17"/>
      <c r="E37" s="17"/>
      <c r="F37" s="17"/>
      <c r="G37" s="17"/>
      <c r="H37" s="17"/>
      <c r="I37" s="17"/>
      <c r="J37" s="34" t="str">
        <f>IF(ISBLANK(NILAI!S38),"",NILAI!S38)</f>
        <v/>
      </c>
      <c r="K37" s="2"/>
    </row>
    <row r="38" spans="1:11" ht="14.25" customHeight="1">
      <c r="A38" s="34" t="str">
        <f>IF(ISBLANK(IDENTITAS!A55),"",IDENTITAS!A55)</f>
        <v/>
      </c>
      <c r="B38" s="34" t="str">
        <f>IF(ISBLANK(IDENTITAS!B55),"",IDENTITAS!B55)</f>
        <v/>
      </c>
      <c r="C38" s="35" t="str">
        <f>IF(ISBLANK(IDENTITAS!C55),"",IDENTITAS!C55)</f>
        <v/>
      </c>
      <c r="D38" s="17"/>
      <c r="E38" s="17"/>
      <c r="F38" s="17"/>
      <c r="G38" s="17"/>
      <c r="H38" s="17"/>
      <c r="I38" s="17"/>
      <c r="J38" s="34" t="str">
        <f>IF(ISBLANK(NILAI!S39),"",NILAI!S39)</f>
        <v/>
      </c>
      <c r="K38" s="2"/>
    </row>
    <row r="39" spans="1:11" ht="14.25" customHeight="1">
      <c r="A39" s="34" t="str">
        <f>IF(ISBLANK(IDENTITAS!A56),"",IDENTITAS!A56)</f>
        <v/>
      </c>
      <c r="B39" s="34" t="str">
        <f>IF(ISBLANK(IDENTITAS!B56),"",IDENTITAS!B56)</f>
        <v/>
      </c>
      <c r="C39" s="35" t="str">
        <f>IF(ISBLANK(IDENTITAS!C56),"",IDENTITAS!C56)</f>
        <v/>
      </c>
      <c r="D39" s="17"/>
      <c r="E39" s="17"/>
      <c r="F39" s="17"/>
      <c r="G39" s="17"/>
      <c r="H39" s="17"/>
      <c r="I39" s="17"/>
      <c r="J39" s="34" t="str">
        <f>IF(ISBLANK(NILAI!S40),"",NILAI!S40)</f>
        <v/>
      </c>
      <c r="K39" s="2"/>
    </row>
    <row r="40" spans="1:11" ht="14.25" customHeight="1">
      <c r="A40" s="34" t="str">
        <f>IF(ISBLANK(IDENTITAS!A57),"",IDENTITAS!A57)</f>
        <v/>
      </c>
      <c r="B40" s="34" t="str">
        <f>IF(ISBLANK(IDENTITAS!B57),"",IDENTITAS!B57)</f>
        <v/>
      </c>
      <c r="C40" s="35" t="str">
        <f>IF(ISBLANK(IDENTITAS!C57),"",IDENTITAS!C57)</f>
        <v/>
      </c>
      <c r="D40" s="17"/>
      <c r="E40" s="17"/>
      <c r="F40" s="17"/>
      <c r="G40" s="17"/>
      <c r="H40" s="17"/>
      <c r="I40" s="17"/>
      <c r="J40" s="34" t="str">
        <f>IF(ISBLANK(NILAI!S41),"",NILAI!S41)</f>
        <v/>
      </c>
      <c r="K40" s="2"/>
    </row>
    <row r="41" spans="1:11" ht="14.25" customHeight="1">
      <c r="A41" s="34" t="str">
        <f>IF(ISBLANK(IDENTITAS!A58),"",IDENTITAS!A58)</f>
        <v/>
      </c>
      <c r="B41" s="34" t="str">
        <f>IF(ISBLANK(IDENTITAS!B58),"",IDENTITAS!B58)</f>
        <v/>
      </c>
      <c r="C41" s="35" t="str">
        <f>IF(ISBLANK(IDENTITAS!C58),"",IDENTITAS!C58)</f>
        <v/>
      </c>
      <c r="D41" s="17"/>
      <c r="E41" s="17"/>
      <c r="F41" s="17"/>
      <c r="G41" s="17"/>
      <c r="H41" s="17"/>
      <c r="I41" s="17"/>
      <c r="J41" s="34" t="str">
        <f>IF(ISBLANK(NILAI!S42),"",NILAI!S42)</f>
        <v/>
      </c>
      <c r="K41" s="2"/>
    </row>
    <row r="42" spans="1:11" ht="14.25" customHeight="1">
      <c r="A42" s="34" t="str">
        <f>IF(ISBLANK(IDENTITAS!A59),"",IDENTITAS!A59)</f>
        <v/>
      </c>
      <c r="B42" s="34" t="str">
        <f>IF(ISBLANK(IDENTITAS!B59),"",IDENTITAS!B59)</f>
        <v/>
      </c>
      <c r="C42" s="35" t="str">
        <f>IF(ISBLANK(IDENTITAS!C59),"",IDENTITAS!C59)</f>
        <v/>
      </c>
      <c r="D42" s="17"/>
      <c r="E42" s="17"/>
      <c r="F42" s="17"/>
      <c r="G42" s="17"/>
      <c r="H42" s="17"/>
      <c r="I42" s="17"/>
      <c r="J42" s="34" t="str">
        <f>IF(ISBLANK(NILAI!S43),"",NILAI!S43)</f>
        <v/>
      </c>
      <c r="K42" s="2"/>
    </row>
    <row r="43" spans="1:11" ht="14.25" customHeight="1">
      <c r="A43" s="34" t="str">
        <f>IF(ISBLANK(IDENTITAS!A60),"",IDENTITAS!A60)</f>
        <v/>
      </c>
      <c r="B43" s="34" t="str">
        <f>IF(ISBLANK(IDENTITAS!B60),"",IDENTITAS!B60)</f>
        <v/>
      </c>
      <c r="C43" s="35" t="str">
        <f>IF(ISBLANK(IDENTITAS!C60),"",IDENTITAS!C60)</f>
        <v/>
      </c>
      <c r="D43" s="17"/>
      <c r="E43" s="17"/>
      <c r="F43" s="17"/>
      <c r="G43" s="17"/>
      <c r="H43" s="17"/>
      <c r="I43" s="17"/>
      <c r="J43" s="34" t="str">
        <f>IF(ISBLANK(NILAI!S44),"",NILAI!S44)</f>
        <v/>
      </c>
      <c r="K43" s="2"/>
    </row>
    <row r="44" spans="1:11" ht="14.25" customHeight="1">
      <c r="A44" s="34" t="str">
        <f>IF(ISBLANK(IDENTITAS!A61),"",IDENTITAS!A61)</f>
        <v/>
      </c>
      <c r="B44" s="34" t="str">
        <f>IF(ISBLANK(IDENTITAS!B61),"",IDENTITAS!B61)</f>
        <v/>
      </c>
      <c r="C44" s="35" t="str">
        <f>IF(ISBLANK(IDENTITAS!C61),"",IDENTITAS!C61)</f>
        <v/>
      </c>
      <c r="D44" s="17"/>
      <c r="E44" s="17"/>
      <c r="F44" s="17"/>
      <c r="G44" s="17"/>
      <c r="H44" s="17"/>
      <c r="I44" s="17"/>
      <c r="J44" s="34" t="str">
        <f>IF(ISBLANK(NILAI!S45),"",NILAI!S45)</f>
        <v/>
      </c>
      <c r="K44" s="2"/>
    </row>
    <row r="45" spans="1:11" ht="14.25" customHeight="1">
      <c r="A45" s="34" t="str">
        <f>IF(ISBLANK(IDENTITAS!A62),"",IDENTITAS!A62)</f>
        <v/>
      </c>
      <c r="B45" s="34" t="str">
        <f>IF(ISBLANK(IDENTITAS!B62),"",IDENTITAS!B62)</f>
        <v/>
      </c>
      <c r="C45" s="35" t="str">
        <f>IF(ISBLANK(IDENTITAS!C62),"",IDENTITAS!C62)</f>
        <v/>
      </c>
      <c r="D45" s="17"/>
      <c r="E45" s="17"/>
      <c r="F45" s="17"/>
      <c r="G45" s="17"/>
      <c r="H45" s="17"/>
      <c r="I45" s="17"/>
      <c r="J45" s="34" t="str">
        <f>IF(ISBLANK(NILAI!S46),"",NILAI!S46)</f>
        <v/>
      </c>
      <c r="K45" s="2"/>
    </row>
    <row r="46" spans="1:11" ht="14.25" customHeight="1">
      <c r="A46" s="34" t="str">
        <f>IF(ISBLANK(IDENTITAS!A63),"",IDENTITAS!A63)</f>
        <v/>
      </c>
      <c r="B46" s="34" t="str">
        <f>IF(ISBLANK(IDENTITAS!B63),"",IDENTITAS!B63)</f>
        <v/>
      </c>
      <c r="C46" s="35" t="str">
        <f>IF(ISBLANK(IDENTITAS!C63),"",IDENTITAS!C63)</f>
        <v/>
      </c>
      <c r="D46" s="17"/>
      <c r="E46" s="17"/>
      <c r="F46" s="17"/>
      <c r="G46" s="17"/>
      <c r="H46" s="17"/>
      <c r="I46" s="17"/>
      <c r="J46" s="34" t="str">
        <f>IF(ISBLANK(NILAI!S47),"",NILAI!S47)</f>
        <v/>
      </c>
      <c r="K46" s="2"/>
    </row>
    <row r="47" spans="1:11" ht="14.25" customHeight="1">
      <c r="A47" s="34" t="str">
        <f>IF(ISBLANK(IDENTITAS!A64),"",IDENTITAS!A64)</f>
        <v/>
      </c>
      <c r="B47" s="34" t="str">
        <f>IF(ISBLANK(IDENTITAS!B64),"",IDENTITAS!B64)</f>
        <v/>
      </c>
      <c r="C47" s="35" t="str">
        <f>IF(ISBLANK(IDENTITAS!C64),"",IDENTITAS!C64)</f>
        <v/>
      </c>
      <c r="D47" s="17"/>
      <c r="E47" s="17"/>
      <c r="F47" s="17"/>
      <c r="G47" s="17"/>
      <c r="H47" s="17"/>
      <c r="I47" s="17"/>
      <c r="J47" s="34" t="str">
        <f>IF(ISBLANK(NILAI!S48),"",NILAI!S48)</f>
        <v/>
      </c>
      <c r="K47" s="2"/>
    </row>
    <row r="48" spans="1:11" ht="14.25" customHeight="1">
      <c r="A48" s="34" t="str">
        <f>IF(ISBLANK(IDENTITAS!A65),"",IDENTITAS!A65)</f>
        <v/>
      </c>
      <c r="B48" s="34" t="str">
        <f>IF(ISBLANK(IDENTITAS!B65),"",IDENTITAS!B65)</f>
        <v/>
      </c>
      <c r="C48" s="35" t="str">
        <f>IF(ISBLANK(IDENTITAS!C65),"",IDENTITAS!C65)</f>
        <v/>
      </c>
      <c r="D48" s="17"/>
      <c r="E48" s="17"/>
      <c r="F48" s="17"/>
      <c r="G48" s="17"/>
      <c r="H48" s="17"/>
      <c r="I48" s="17"/>
      <c r="J48" s="34" t="str">
        <f>IF(ISBLANK(NILAI!S49),"",NILAI!S49)</f>
        <v/>
      </c>
      <c r="K48" s="2"/>
    </row>
    <row r="49" spans="1:11" ht="14.25" customHeight="1">
      <c r="A49" s="34" t="str">
        <f>IF(ISBLANK(IDENTITAS!A66),"",IDENTITAS!A66)</f>
        <v/>
      </c>
      <c r="B49" s="34" t="str">
        <f>IF(ISBLANK(IDENTITAS!B66),"",IDENTITAS!B66)</f>
        <v/>
      </c>
      <c r="C49" s="35" t="str">
        <f>IF(ISBLANK(IDENTITAS!C66),"",IDENTITAS!C66)</f>
        <v/>
      </c>
      <c r="D49" s="17"/>
      <c r="E49" s="17"/>
      <c r="F49" s="17"/>
      <c r="G49" s="17"/>
      <c r="H49" s="17"/>
      <c r="I49" s="17"/>
      <c r="J49" s="34" t="str">
        <f>IF(ISBLANK(NILAI!S50),"",NILAI!S50)</f>
        <v/>
      </c>
      <c r="K49" s="2"/>
    </row>
    <row r="50" spans="1:11" ht="14.25" customHeight="1">
      <c r="A50" s="34" t="str">
        <f>IF(ISBLANK(IDENTITAS!A67),"",IDENTITAS!A67)</f>
        <v/>
      </c>
      <c r="B50" s="34" t="str">
        <f>IF(ISBLANK(IDENTITAS!B67),"",IDENTITAS!B67)</f>
        <v/>
      </c>
      <c r="C50" s="35" t="str">
        <f>IF(ISBLANK(IDENTITAS!C67),"",IDENTITAS!C67)</f>
        <v/>
      </c>
      <c r="D50" s="17"/>
      <c r="E50" s="17"/>
      <c r="F50" s="17"/>
      <c r="G50" s="17"/>
      <c r="H50" s="17"/>
      <c r="I50" s="17"/>
      <c r="J50" s="34" t="str">
        <f>IF(ISBLANK(NILAI!S51),"",NILAI!S51)</f>
        <v/>
      </c>
      <c r="K50" s="2"/>
    </row>
    <row r="51" spans="1:11" ht="14.25" customHeight="1">
      <c r="A51" s="34" t="str">
        <f>IF(ISBLANK(IDENTITAS!A68),"",IDENTITAS!A68)</f>
        <v/>
      </c>
      <c r="B51" s="34" t="str">
        <f>IF(ISBLANK(IDENTITAS!B68),"",IDENTITAS!B68)</f>
        <v/>
      </c>
      <c r="C51" s="35" t="str">
        <f>IF(ISBLANK(IDENTITAS!C68),"",IDENTITAS!C68)</f>
        <v/>
      </c>
      <c r="D51" s="17"/>
      <c r="E51" s="17"/>
      <c r="F51" s="17"/>
      <c r="G51" s="17"/>
      <c r="H51" s="17"/>
      <c r="I51" s="17"/>
      <c r="J51" s="34" t="str">
        <f>IF(ISBLANK(NILAI!S52),"",NILAI!S52)</f>
        <v/>
      </c>
      <c r="K51" s="2"/>
    </row>
    <row r="52" spans="1:11" ht="14.25" customHeight="1">
      <c r="A52" s="34" t="str">
        <f>IF(ISBLANK(IDENTITAS!A69),"",IDENTITAS!A69)</f>
        <v/>
      </c>
      <c r="B52" s="34" t="str">
        <f>IF(ISBLANK(IDENTITAS!B69),"",IDENTITAS!B69)</f>
        <v/>
      </c>
      <c r="C52" s="35" t="str">
        <f>IF(ISBLANK(IDENTITAS!C69),"",IDENTITAS!C69)</f>
        <v/>
      </c>
      <c r="D52" s="17"/>
      <c r="E52" s="17"/>
      <c r="F52" s="17"/>
      <c r="G52" s="17"/>
      <c r="H52" s="17"/>
      <c r="I52" s="17"/>
      <c r="J52" s="34" t="str">
        <f>IF(ISBLANK(NILAI!S53),"",NILAI!S53)</f>
        <v/>
      </c>
      <c r="K52" s="2"/>
    </row>
    <row r="53" spans="1:11" ht="14.25" customHeight="1">
      <c r="A53" s="34" t="str">
        <f>IF(ISBLANK(IDENTITAS!A70),"",IDENTITAS!A70)</f>
        <v/>
      </c>
      <c r="B53" s="34" t="str">
        <f>IF(ISBLANK(IDENTITAS!B70),"",IDENTITAS!B70)</f>
        <v/>
      </c>
      <c r="C53" s="35" t="str">
        <f>IF(ISBLANK(IDENTITAS!C70),"",IDENTITAS!C70)</f>
        <v/>
      </c>
      <c r="D53" s="17"/>
      <c r="E53" s="17"/>
      <c r="F53" s="17"/>
      <c r="G53" s="17"/>
      <c r="H53" s="17"/>
      <c r="I53" s="17"/>
      <c r="J53" s="34" t="str">
        <f>IF(ISBLANK(NILAI!S54),"",NILAI!S54)</f>
        <v/>
      </c>
      <c r="K53" s="2"/>
    </row>
    <row r="54" spans="1:11" ht="14.25" customHeight="1">
      <c r="A54" s="34" t="str">
        <f>IF(ISBLANK(IDENTITAS!A71),"",IDENTITAS!A71)</f>
        <v/>
      </c>
      <c r="B54" s="34" t="str">
        <f>IF(ISBLANK(IDENTITAS!B71),"",IDENTITAS!B71)</f>
        <v/>
      </c>
      <c r="C54" s="35" t="str">
        <f>IF(ISBLANK(IDENTITAS!C71),"",IDENTITAS!C71)</f>
        <v/>
      </c>
      <c r="D54" s="17"/>
      <c r="E54" s="17"/>
      <c r="F54" s="17"/>
      <c r="G54" s="17"/>
      <c r="H54" s="17"/>
      <c r="I54" s="17"/>
      <c r="J54" s="34" t="str">
        <f>IF(ISBLANK(NILAI!S55),"",NILAI!S55)</f>
        <v/>
      </c>
      <c r="K54" s="2"/>
    </row>
    <row r="55" spans="1:11" ht="14.25" customHeight="1">
      <c r="A55" s="34" t="str">
        <f>IF(ISBLANK(IDENTITAS!A72),"",IDENTITAS!A72)</f>
        <v/>
      </c>
      <c r="B55" s="34" t="str">
        <f>IF(ISBLANK(IDENTITAS!B72),"",IDENTITAS!B72)</f>
        <v/>
      </c>
      <c r="C55" s="35" t="str">
        <f>IF(ISBLANK(IDENTITAS!C72),"",IDENTITAS!C72)</f>
        <v/>
      </c>
      <c r="D55" s="17"/>
      <c r="E55" s="17"/>
      <c r="F55" s="17"/>
      <c r="G55" s="17"/>
      <c r="H55" s="17"/>
      <c r="I55" s="17"/>
      <c r="J55" s="34" t="str">
        <f>IF(ISBLANK(NILAI!S56),"",NILAI!S56)</f>
        <v/>
      </c>
      <c r="K55" s="2"/>
    </row>
    <row r="56" spans="1:11" ht="14.25" customHeight="1">
      <c r="A56" s="34" t="str">
        <f>IF(ISBLANK(IDENTITAS!A73),"",IDENTITAS!A73)</f>
        <v/>
      </c>
      <c r="B56" s="34" t="str">
        <f>IF(ISBLANK(IDENTITAS!B73),"",IDENTITAS!B73)</f>
        <v/>
      </c>
      <c r="C56" s="35" t="str">
        <f>IF(ISBLANK(IDENTITAS!C73),"",IDENTITAS!C73)</f>
        <v/>
      </c>
      <c r="D56" s="17"/>
      <c r="E56" s="17"/>
      <c r="F56" s="17"/>
      <c r="G56" s="17"/>
      <c r="H56" s="17"/>
      <c r="I56" s="17"/>
      <c r="J56" s="34" t="str">
        <f>IF(ISBLANK(NILAI!S57),"",NILAI!S57)</f>
        <v/>
      </c>
      <c r="K56" s="2"/>
    </row>
    <row r="57" spans="1:11" ht="14.25" customHeight="1">
      <c r="A57" s="34" t="str">
        <f>IF(ISBLANK(IDENTITAS!A74),"",IDENTITAS!A74)</f>
        <v/>
      </c>
      <c r="B57" s="34" t="str">
        <f>IF(ISBLANK(IDENTITAS!B74),"",IDENTITAS!B74)</f>
        <v/>
      </c>
      <c r="C57" s="35" t="str">
        <f>IF(ISBLANK(IDENTITAS!C74),"",IDENTITAS!C74)</f>
        <v/>
      </c>
      <c r="D57" s="17"/>
      <c r="E57" s="17"/>
      <c r="F57" s="17"/>
      <c r="G57" s="17"/>
      <c r="H57" s="17"/>
      <c r="I57" s="17"/>
      <c r="J57" s="34" t="str">
        <f>IF(ISBLANK(NILAI!S58),"",NILAI!S58)</f>
        <v/>
      </c>
      <c r="K57" s="2"/>
    </row>
    <row r="58" spans="1:11" ht="14.25" customHeight="1">
      <c r="A58" s="34" t="str">
        <f>IF(ISBLANK(IDENTITAS!A75),"",IDENTITAS!A75)</f>
        <v/>
      </c>
      <c r="B58" s="34" t="str">
        <f>IF(ISBLANK(IDENTITAS!B75),"",IDENTITAS!B75)</f>
        <v/>
      </c>
      <c r="C58" s="35" t="str">
        <f>IF(ISBLANK(IDENTITAS!C75),"",IDENTITAS!C75)</f>
        <v/>
      </c>
      <c r="D58" s="17"/>
      <c r="E58" s="17"/>
      <c r="F58" s="17"/>
      <c r="G58" s="17"/>
      <c r="H58" s="17"/>
      <c r="I58" s="17"/>
      <c r="J58" s="34" t="str">
        <f>IF(ISBLANK(NILAI!S59),"",NILAI!S59)</f>
        <v/>
      </c>
      <c r="K58" s="2"/>
    </row>
    <row r="59" spans="1:11" ht="14.25" customHeight="1">
      <c r="A59" s="34" t="str">
        <f>IF(ISBLANK(IDENTITAS!A76),"",IDENTITAS!A76)</f>
        <v/>
      </c>
      <c r="B59" s="34" t="str">
        <f>IF(ISBLANK(IDENTITAS!B76),"",IDENTITAS!B76)</f>
        <v/>
      </c>
      <c r="C59" s="35" t="str">
        <f>IF(ISBLANK(IDENTITAS!C76),"",IDENTITAS!C76)</f>
        <v/>
      </c>
      <c r="D59" s="17"/>
      <c r="E59" s="17"/>
      <c r="F59" s="17"/>
      <c r="G59" s="17"/>
      <c r="H59" s="17"/>
      <c r="I59" s="17"/>
      <c r="J59" s="34" t="str">
        <f>IF(ISBLANK(NILAI!S60),"",NILAI!S60)</f>
        <v/>
      </c>
      <c r="K59" s="2"/>
    </row>
    <row r="60" spans="1:11" ht="14.25" customHeight="1">
      <c r="A60" s="34" t="str">
        <f>IF(ISBLANK(IDENTITAS!A77),"",IDENTITAS!A77)</f>
        <v/>
      </c>
      <c r="B60" s="34" t="str">
        <f>IF(ISBLANK(IDENTITAS!B77),"",IDENTITAS!B77)</f>
        <v/>
      </c>
      <c r="C60" s="35" t="str">
        <f>IF(ISBLANK(IDENTITAS!C77),"",IDENTITAS!C77)</f>
        <v/>
      </c>
      <c r="D60" s="17"/>
      <c r="E60" s="17"/>
      <c r="F60" s="17"/>
      <c r="G60" s="17"/>
      <c r="H60" s="17"/>
      <c r="I60" s="17"/>
      <c r="J60" s="34" t="str">
        <f>IF(ISBLANK(NILAI!S61),"",NILAI!S61)</f>
        <v/>
      </c>
      <c r="K60" s="2"/>
    </row>
    <row r="61" spans="1:11" ht="14.25" customHeight="1">
      <c r="A61" s="34" t="str">
        <f>IF(ISBLANK(IDENTITAS!A78),"",IDENTITAS!A78)</f>
        <v/>
      </c>
      <c r="B61" s="34" t="str">
        <f>IF(ISBLANK(IDENTITAS!B78),"",IDENTITAS!B78)</f>
        <v/>
      </c>
      <c r="C61" s="35" t="str">
        <f>IF(ISBLANK(IDENTITAS!C78),"",IDENTITAS!C78)</f>
        <v/>
      </c>
      <c r="D61" s="17"/>
      <c r="E61" s="17"/>
      <c r="F61" s="17"/>
      <c r="G61" s="17"/>
      <c r="H61" s="17"/>
      <c r="I61" s="17"/>
      <c r="J61" s="34" t="str">
        <f>IF(ISBLANK(NILAI!S62),"",NILAI!S62)</f>
        <v/>
      </c>
      <c r="K61" s="2"/>
    </row>
    <row r="62" spans="1:11" ht="14.25" customHeight="1">
      <c r="A62" s="34" t="str">
        <f>IF(ISBLANK(IDENTITAS!A79),"",IDENTITAS!A79)</f>
        <v/>
      </c>
      <c r="B62" s="34" t="str">
        <f>IF(ISBLANK(IDENTITAS!B79),"",IDENTITAS!B79)</f>
        <v/>
      </c>
      <c r="C62" s="35" t="str">
        <f>IF(ISBLANK(IDENTITAS!C79),"",IDENTITAS!C79)</f>
        <v/>
      </c>
      <c r="D62" s="17"/>
      <c r="E62" s="17"/>
      <c r="F62" s="17"/>
      <c r="G62" s="17"/>
      <c r="H62" s="17"/>
      <c r="I62" s="17"/>
      <c r="J62" s="34" t="str">
        <f>IF(ISBLANK(NILAI!S63),"",NILAI!S63)</f>
        <v/>
      </c>
      <c r="K62" s="2"/>
    </row>
    <row r="63" spans="1:11" ht="14.25" customHeight="1">
      <c r="A63" s="34" t="str">
        <f>IF(ISBLANK(IDENTITAS!A80),"",IDENTITAS!A80)</f>
        <v/>
      </c>
      <c r="B63" s="34" t="str">
        <f>IF(ISBLANK(IDENTITAS!B80),"",IDENTITAS!B80)</f>
        <v/>
      </c>
      <c r="C63" s="35" t="str">
        <f>IF(ISBLANK(IDENTITAS!C80),"",IDENTITAS!C80)</f>
        <v/>
      </c>
      <c r="D63" s="17"/>
      <c r="E63" s="17"/>
      <c r="F63" s="17"/>
      <c r="G63" s="17"/>
      <c r="H63" s="17"/>
      <c r="I63" s="17"/>
      <c r="J63" s="34" t="str">
        <f>IF(ISBLANK(NILAI!S64),"",NILAI!S64)</f>
        <v/>
      </c>
      <c r="K63" s="2"/>
    </row>
    <row r="64" spans="1:11" ht="14.25" customHeight="1">
      <c r="A64" s="34" t="str">
        <f>IF(ISBLANK(IDENTITAS!A81),"",IDENTITAS!A81)</f>
        <v/>
      </c>
      <c r="B64" s="34" t="str">
        <f>IF(ISBLANK(IDENTITAS!B81),"",IDENTITAS!B81)</f>
        <v/>
      </c>
      <c r="C64" s="35" t="str">
        <f>IF(ISBLANK(IDENTITAS!C81),"",IDENTITAS!C81)</f>
        <v/>
      </c>
      <c r="D64" s="17"/>
      <c r="E64" s="17"/>
      <c r="F64" s="17"/>
      <c r="G64" s="17"/>
      <c r="H64" s="17"/>
      <c r="I64" s="17"/>
      <c r="J64" s="34" t="str">
        <f>IF(ISBLANK(NILAI!S65),"",NILAI!S65)</f>
        <v/>
      </c>
      <c r="K64" s="2"/>
    </row>
    <row r="65" spans="1:11" ht="14.25" customHeight="1">
      <c r="A65" s="34" t="str">
        <f>IF(ISBLANK(IDENTITAS!A82),"",IDENTITAS!A82)</f>
        <v/>
      </c>
      <c r="B65" s="34" t="str">
        <f>IF(ISBLANK(IDENTITAS!B82),"",IDENTITAS!B82)</f>
        <v/>
      </c>
      <c r="C65" s="35" t="str">
        <f>IF(ISBLANK(IDENTITAS!C82),"",IDENTITAS!C82)</f>
        <v/>
      </c>
      <c r="D65" s="17"/>
      <c r="E65" s="17"/>
      <c r="F65" s="17"/>
      <c r="G65" s="17"/>
      <c r="H65" s="17"/>
      <c r="I65" s="17"/>
      <c r="J65" s="34" t="str">
        <f>IF(ISBLANK(NILAI!S66),"",NILAI!S66)</f>
        <v/>
      </c>
      <c r="K65" s="2"/>
    </row>
    <row r="66" spans="1:11" ht="14.25" customHeight="1">
      <c r="A66" s="34" t="str">
        <f>IF(ISBLANK(IDENTITAS!A83),"",IDENTITAS!A83)</f>
        <v/>
      </c>
      <c r="B66" s="34" t="str">
        <f>IF(ISBLANK(IDENTITAS!B83),"",IDENTITAS!B83)</f>
        <v/>
      </c>
      <c r="C66" s="35" t="str">
        <f>IF(ISBLANK(IDENTITAS!C83),"",IDENTITAS!C83)</f>
        <v/>
      </c>
      <c r="D66" s="17"/>
      <c r="E66" s="17"/>
      <c r="F66" s="17"/>
      <c r="G66" s="17"/>
      <c r="H66" s="17"/>
      <c r="I66" s="17"/>
      <c r="J66" s="34" t="str">
        <f>IF(ISBLANK(NILAI!S67),"",NILAI!S67)</f>
        <v/>
      </c>
      <c r="K66" s="2"/>
    </row>
    <row r="67" spans="1:11" ht="14.25" customHeight="1">
      <c r="A67" s="34" t="str">
        <f>IF(ISBLANK(IDENTITAS!A84),"",IDENTITAS!A84)</f>
        <v/>
      </c>
      <c r="B67" s="34" t="str">
        <f>IF(ISBLANK(IDENTITAS!B84),"",IDENTITAS!B84)</f>
        <v/>
      </c>
      <c r="C67" s="35" t="str">
        <f>IF(ISBLANK(IDENTITAS!C84),"",IDENTITAS!C84)</f>
        <v/>
      </c>
      <c r="D67" s="17"/>
      <c r="E67" s="17"/>
      <c r="F67" s="17"/>
      <c r="G67" s="17"/>
      <c r="H67" s="17"/>
      <c r="I67" s="17"/>
      <c r="J67" s="34" t="str">
        <f>IF(ISBLANK(NILAI!S68),"",NILAI!S68)</f>
        <v/>
      </c>
      <c r="K67" s="2"/>
    </row>
    <row r="68" spans="1:11" ht="14.25" customHeight="1">
      <c r="A68" s="34" t="str">
        <f>IF(ISBLANK(IDENTITAS!A85),"",IDENTITAS!A85)</f>
        <v/>
      </c>
      <c r="B68" s="34" t="str">
        <f>IF(ISBLANK(IDENTITAS!B85),"",IDENTITAS!B85)</f>
        <v/>
      </c>
      <c r="C68" s="35" t="str">
        <f>IF(ISBLANK(IDENTITAS!C85),"",IDENTITAS!C85)</f>
        <v/>
      </c>
      <c r="D68" s="17"/>
      <c r="E68" s="17"/>
      <c r="F68" s="17"/>
      <c r="G68" s="17"/>
      <c r="H68" s="17"/>
      <c r="I68" s="17"/>
      <c r="J68" s="34" t="str">
        <f>IF(ISBLANK(NILAI!S69),"",NILAI!S69)</f>
        <v/>
      </c>
      <c r="K68" s="2"/>
    </row>
    <row r="69" spans="1:11" ht="14.25" customHeight="1">
      <c r="A69" s="34" t="str">
        <f>IF(ISBLANK(IDENTITAS!A86),"",IDENTITAS!A86)</f>
        <v/>
      </c>
      <c r="B69" s="34" t="str">
        <f>IF(ISBLANK(IDENTITAS!B86),"",IDENTITAS!B86)</f>
        <v/>
      </c>
      <c r="C69" s="35" t="str">
        <f>IF(ISBLANK(IDENTITAS!C86),"",IDENTITAS!C86)</f>
        <v/>
      </c>
      <c r="D69" s="17"/>
      <c r="E69" s="17"/>
      <c r="F69" s="17"/>
      <c r="G69" s="17"/>
      <c r="H69" s="17"/>
      <c r="I69" s="17"/>
      <c r="J69" s="34" t="str">
        <f>IF(ISBLANK(NILAI!S70),"",NILAI!S70)</f>
        <v/>
      </c>
      <c r="K69" s="2"/>
    </row>
    <row r="70" spans="1:11" ht="14.25" customHeight="1">
      <c r="A70" s="34" t="str">
        <f>IF(ISBLANK(IDENTITAS!A87),"",IDENTITAS!A87)</f>
        <v/>
      </c>
      <c r="B70" s="34" t="str">
        <f>IF(ISBLANK(IDENTITAS!B87),"",IDENTITAS!B87)</f>
        <v/>
      </c>
      <c r="C70" s="35" t="str">
        <f>IF(ISBLANK(IDENTITAS!C87),"",IDENTITAS!C87)</f>
        <v/>
      </c>
      <c r="D70" s="17"/>
      <c r="E70" s="17"/>
      <c r="F70" s="17"/>
      <c r="G70" s="17"/>
      <c r="H70" s="17"/>
      <c r="I70" s="17"/>
      <c r="J70" s="34" t="str">
        <f>IF(ISBLANK(NILAI!S71),"",NILAI!S71)</f>
        <v/>
      </c>
      <c r="K70" s="2"/>
    </row>
    <row r="71" spans="1:11" ht="14.25" customHeight="1">
      <c r="A71" s="34" t="str">
        <f>IF(ISBLANK(IDENTITAS!A88),"",IDENTITAS!A88)</f>
        <v/>
      </c>
      <c r="B71" s="34" t="str">
        <f>IF(ISBLANK(IDENTITAS!B88),"",IDENTITAS!B88)</f>
        <v/>
      </c>
      <c r="C71" s="35" t="str">
        <f>IF(ISBLANK(IDENTITAS!C88),"",IDENTITAS!C88)</f>
        <v/>
      </c>
      <c r="D71" s="17"/>
      <c r="E71" s="17"/>
      <c r="F71" s="17"/>
      <c r="G71" s="17"/>
      <c r="H71" s="17"/>
      <c r="I71" s="17"/>
      <c r="J71" s="34" t="str">
        <f>IF(ISBLANK(NILAI!S72),"",NILAI!S72)</f>
        <v/>
      </c>
      <c r="K71" s="2"/>
    </row>
    <row r="72" spans="1:11" ht="14.25" customHeight="1">
      <c r="A72" s="34" t="str">
        <f>IF(ISBLANK(IDENTITAS!A89),"",IDENTITAS!A89)</f>
        <v/>
      </c>
      <c r="B72" s="34" t="str">
        <f>IF(ISBLANK(IDENTITAS!B89),"",IDENTITAS!B89)</f>
        <v/>
      </c>
      <c r="C72" s="35" t="str">
        <f>IF(ISBLANK(IDENTITAS!C89),"",IDENTITAS!C89)</f>
        <v/>
      </c>
      <c r="D72" s="17"/>
      <c r="E72" s="17"/>
      <c r="F72" s="17"/>
      <c r="G72" s="17"/>
      <c r="H72" s="17"/>
      <c r="I72" s="17"/>
      <c r="J72" s="34" t="str">
        <f>IF(ISBLANK(NILAI!S73),"",NILAI!S73)</f>
        <v/>
      </c>
      <c r="K72" s="2"/>
    </row>
    <row r="73" spans="1:11" ht="14.25" customHeight="1">
      <c r="A73" s="34" t="str">
        <f>IF(ISBLANK(IDENTITAS!A90),"",IDENTITAS!A90)</f>
        <v/>
      </c>
      <c r="B73" s="34" t="str">
        <f>IF(ISBLANK(IDENTITAS!B90),"",IDENTITAS!B90)</f>
        <v/>
      </c>
      <c r="C73" s="35" t="str">
        <f>IF(ISBLANK(IDENTITAS!C90),"",IDENTITAS!C90)</f>
        <v/>
      </c>
      <c r="D73" s="17"/>
      <c r="E73" s="17"/>
      <c r="F73" s="17"/>
      <c r="G73" s="17"/>
      <c r="H73" s="17"/>
      <c r="I73" s="17"/>
      <c r="J73" s="34" t="str">
        <f>IF(ISBLANK(NILAI!S74),"",NILAI!S74)</f>
        <v/>
      </c>
      <c r="K73" s="2"/>
    </row>
    <row r="74" spans="1:11" ht="14.25" customHeight="1">
      <c r="A74" s="34" t="str">
        <f>IF(ISBLANK(IDENTITAS!A91),"",IDENTITAS!A91)</f>
        <v/>
      </c>
      <c r="B74" s="34" t="str">
        <f>IF(ISBLANK(IDENTITAS!B91),"",IDENTITAS!B91)</f>
        <v/>
      </c>
      <c r="C74" s="35" t="str">
        <f>IF(ISBLANK(IDENTITAS!C91),"",IDENTITAS!C91)</f>
        <v/>
      </c>
      <c r="D74" s="17"/>
      <c r="E74" s="17"/>
      <c r="F74" s="17"/>
      <c r="G74" s="17"/>
      <c r="H74" s="17"/>
      <c r="I74" s="17"/>
      <c r="J74" s="34" t="str">
        <f>IF(ISBLANK(NILAI!S75),"",NILAI!S75)</f>
        <v/>
      </c>
      <c r="K74" s="2"/>
    </row>
    <row r="75" spans="1:11" ht="14.25" customHeight="1">
      <c r="A75" s="34" t="str">
        <f>IF(ISBLANK(IDENTITAS!A92),"",IDENTITAS!A92)</f>
        <v/>
      </c>
      <c r="B75" s="34" t="str">
        <f>IF(ISBLANK(IDENTITAS!B92),"",IDENTITAS!B92)</f>
        <v/>
      </c>
      <c r="C75" s="35" t="str">
        <f>IF(ISBLANK(IDENTITAS!C92),"",IDENTITAS!C92)</f>
        <v/>
      </c>
      <c r="D75" s="17"/>
      <c r="E75" s="17"/>
      <c r="F75" s="17"/>
      <c r="G75" s="17"/>
      <c r="H75" s="17"/>
      <c r="I75" s="17"/>
      <c r="J75" s="34" t="str">
        <f>IF(ISBLANK(NILAI!S76),"",NILAI!S76)</f>
        <v/>
      </c>
      <c r="K75" s="2"/>
    </row>
    <row r="76" spans="1:11" ht="14.25" customHeight="1">
      <c r="A76" s="34" t="str">
        <f>IF(ISBLANK(IDENTITAS!A93),"",IDENTITAS!A93)</f>
        <v/>
      </c>
      <c r="B76" s="34" t="str">
        <f>IF(ISBLANK(IDENTITAS!B93),"",IDENTITAS!B93)</f>
        <v/>
      </c>
      <c r="C76" s="35" t="str">
        <f>IF(ISBLANK(IDENTITAS!C93),"",IDENTITAS!C93)</f>
        <v/>
      </c>
      <c r="D76" s="17"/>
      <c r="E76" s="17"/>
      <c r="F76" s="17"/>
      <c r="G76" s="17"/>
      <c r="H76" s="17"/>
      <c r="I76" s="17"/>
      <c r="J76" s="34" t="str">
        <f>IF(ISBLANK(NILAI!S77),"",NILAI!S77)</f>
        <v/>
      </c>
      <c r="K76" s="2"/>
    </row>
    <row r="77" spans="1:11" ht="14.25" customHeight="1">
      <c r="A77" s="34" t="str">
        <f>IF(ISBLANK(IDENTITAS!A94),"",IDENTITAS!A94)</f>
        <v/>
      </c>
      <c r="B77" s="34" t="str">
        <f>IF(ISBLANK(IDENTITAS!B94),"",IDENTITAS!B94)</f>
        <v/>
      </c>
      <c r="C77" s="35" t="str">
        <f>IF(ISBLANK(IDENTITAS!C94),"",IDENTITAS!C94)</f>
        <v/>
      </c>
      <c r="D77" s="17"/>
      <c r="E77" s="17"/>
      <c r="F77" s="17"/>
      <c r="G77" s="17"/>
      <c r="H77" s="17"/>
      <c r="I77" s="17"/>
      <c r="J77" s="34" t="str">
        <f>IF(ISBLANK(NILAI!S78),"",NILAI!S78)</f>
        <v/>
      </c>
      <c r="K77" s="2"/>
    </row>
    <row r="78" spans="1:11" ht="14.25" customHeight="1">
      <c r="A78" s="34" t="str">
        <f>IF(ISBLANK(IDENTITAS!A95),"",IDENTITAS!A95)</f>
        <v/>
      </c>
      <c r="B78" s="34" t="str">
        <f>IF(ISBLANK(IDENTITAS!B95),"",IDENTITAS!B95)</f>
        <v/>
      </c>
      <c r="C78" s="35" t="str">
        <f>IF(ISBLANK(IDENTITAS!C95),"",IDENTITAS!C95)</f>
        <v/>
      </c>
      <c r="D78" s="17"/>
      <c r="E78" s="17"/>
      <c r="F78" s="17"/>
      <c r="G78" s="17"/>
      <c r="H78" s="17"/>
      <c r="I78" s="17"/>
      <c r="J78" s="34" t="str">
        <f>IF(ISBLANK(NILAI!S79),"",NILAI!S79)</f>
        <v/>
      </c>
      <c r="K78" s="2"/>
    </row>
    <row r="79" spans="1:11" ht="14.25" customHeight="1">
      <c r="A79" s="34" t="str">
        <f>IF(ISBLANK(IDENTITAS!A96),"",IDENTITAS!A96)</f>
        <v/>
      </c>
      <c r="B79" s="34" t="str">
        <f>IF(ISBLANK(IDENTITAS!B96),"",IDENTITAS!B96)</f>
        <v/>
      </c>
      <c r="C79" s="35" t="str">
        <f>IF(ISBLANK(IDENTITAS!C96),"",IDENTITAS!C96)</f>
        <v/>
      </c>
      <c r="D79" s="17"/>
      <c r="E79" s="17"/>
      <c r="F79" s="17"/>
      <c r="G79" s="17"/>
      <c r="H79" s="17"/>
      <c r="I79" s="17"/>
      <c r="J79" s="34" t="str">
        <f>IF(ISBLANK(NILAI!S80),"",NILAI!S80)</f>
        <v/>
      </c>
      <c r="K79" s="2"/>
    </row>
    <row r="80" spans="1:11" ht="14.25" customHeight="1">
      <c r="A80" s="34" t="str">
        <f>IF(ISBLANK(IDENTITAS!A97),"",IDENTITAS!A97)</f>
        <v/>
      </c>
      <c r="B80" s="34" t="str">
        <f>IF(ISBLANK(IDENTITAS!B97),"",IDENTITAS!B97)</f>
        <v/>
      </c>
      <c r="C80" s="35" t="str">
        <f>IF(ISBLANK(IDENTITAS!C97),"",IDENTITAS!C97)</f>
        <v/>
      </c>
      <c r="D80" s="17"/>
      <c r="E80" s="17"/>
      <c r="F80" s="17"/>
      <c r="G80" s="17"/>
      <c r="H80" s="17"/>
      <c r="I80" s="17"/>
      <c r="J80" s="34" t="str">
        <f>IF(ISBLANK(NILAI!S81),"",NILAI!S81)</f>
        <v/>
      </c>
      <c r="K80" s="2"/>
    </row>
    <row r="81" spans="1:11" ht="14.25" customHeight="1">
      <c r="A81" s="34" t="str">
        <f>IF(ISBLANK(IDENTITAS!A98),"",IDENTITAS!A98)</f>
        <v/>
      </c>
      <c r="B81" s="34" t="str">
        <f>IF(ISBLANK(IDENTITAS!B98),"",IDENTITAS!B98)</f>
        <v/>
      </c>
      <c r="C81" s="35" t="str">
        <f>IF(ISBLANK(IDENTITAS!C98),"",IDENTITAS!C98)</f>
        <v/>
      </c>
      <c r="D81" s="17"/>
      <c r="E81" s="17"/>
      <c r="F81" s="17"/>
      <c r="G81" s="17"/>
      <c r="H81" s="17"/>
      <c r="I81" s="17"/>
      <c r="J81" s="34" t="str">
        <f>IF(ISBLANK(NILAI!S82),"",NILAI!S82)</f>
        <v/>
      </c>
      <c r="K81" s="2"/>
    </row>
    <row r="82" spans="1:11" ht="14.25" customHeight="1">
      <c r="A82" s="34" t="str">
        <f>IF(ISBLANK(IDENTITAS!A99),"",IDENTITAS!A99)</f>
        <v/>
      </c>
      <c r="B82" s="34" t="str">
        <f>IF(ISBLANK(IDENTITAS!B99),"",IDENTITAS!B99)</f>
        <v/>
      </c>
      <c r="C82" s="35" t="str">
        <f>IF(ISBLANK(IDENTITAS!C99),"",IDENTITAS!C99)</f>
        <v/>
      </c>
      <c r="D82" s="17"/>
      <c r="E82" s="17"/>
      <c r="F82" s="17"/>
      <c r="G82" s="17"/>
      <c r="H82" s="17"/>
      <c r="I82" s="17"/>
      <c r="J82" s="34" t="str">
        <f>IF(ISBLANK(NILAI!S83),"",NILAI!S83)</f>
        <v/>
      </c>
      <c r="K82" s="2"/>
    </row>
    <row r="83" spans="1:11" ht="14.25" customHeight="1">
      <c r="A83" s="34" t="str">
        <f>IF(ISBLANK(IDENTITAS!A100),"",IDENTITAS!A100)</f>
        <v/>
      </c>
      <c r="B83" s="34" t="str">
        <f>IF(ISBLANK(IDENTITAS!B100),"",IDENTITAS!B100)</f>
        <v/>
      </c>
      <c r="C83" s="35" t="str">
        <f>IF(ISBLANK(IDENTITAS!C100),"",IDENTITAS!C100)</f>
        <v/>
      </c>
      <c r="D83" s="17"/>
      <c r="E83" s="17"/>
      <c r="F83" s="17"/>
      <c r="G83" s="17"/>
      <c r="H83" s="17"/>
      <c r="I83" s="17"/>
      <c r="J83" s="34" t="str">
        <f>IF(ISBLANK(NILAI!S84),"",NILAI!S84)</f>
        <v/>
      </c>
      <c r="K83" s="2"/>
    </row>
    <row r="84" spans="1:11" ht="14.25" customHeight="1">
      <c r="A84" s="34" t="str">
        <f>IF(ISBLANK(IDENTITAS!A101),"",IDENTITAS!A101)</f>
        <v/>
      </c>
      <c r="B84" s="34" t="str">
        <f>IF(ISBLANK(IDENTITAS!B101),"",IDENTITAS!B101)</f>
        <v/>
      </c>
      <c r="C84" s="35" t="str">
        <f>IF(ISBLANK(IDENTITAS!C101),"",IDENTITAS!C101)</f>
        <v/>
      </c>
      <c r="D84" s="17"/>
      <c r="E84" s="17"/>
      <c r="F84" s="17"/>
      <c r="G84" s="17"/>
      <c r="H84" s="17"/>
      <c r="I84" s="17"/>
      <c r="J84" s="34" t="str">
        <f>IF(ISBLANK(NILAI!S85),"",NILAI!S85)</f>
        <v/>
      </c>
      <c r="K84" s="2"/>
    </row>
    <row r="85" spans="1:11" ht="14.25" customHeight="1">
      <c r="A85" s="34" t="str">
        <f>IF(ISBLANK(IDENTITAS!A102),"",IDENTITAS!A102)</f>
        <v/>
      </c>
      <c r="B85" s="34" t="str">
        <f>IF(ISBLANK(IDENTITAS!B102),"",IDENTITAS!B102)</f>
        <v/>
      </c>
      <c r="C85" s="35" t="str">
        <f>IF(ISBLANK(IDENTITAS!C102),"",IDENTITAS!C102)</f>
        <v/>
      </c>
      <c r="D85" s="17"/>
      <c r="E85" s="17"/>
      <c r="F85" s="17"/>
      <c r="G85" s="17"/>
      <c r="H85" s="17"/>
      <c r="I85" s="17"/>
      <c r="J85" s="34" t="str">
        <f>IF(ISBLANK(NILAI!S86),"",NILAI!S86)</f>
        <v/>
      </c>
      <c r="K85" s="2"/>
    </row>
    <row r="86" spans="1:11" ht="14.25" customHeight="1">
      <c r="A86" s="34" t="str">
        <f>IF(ISBLANK(IDENTITAS!A103),"",IDENTITAS!A103)</f>
        <v/>
      </c>
      <c r="B86" s="34" t="str">
        <f>IF(ISBLANK(IDENTITAS!B103),"",IDENTITAS!B103)</f>
        <v/>
      </c>
      <c r="C86" s="35" t="str">
        <f>IF(ISBLANK(IDENTITAS!C103),"",IDENTITAS!C103)</f>
        <v/>
      </c>
      <c r="D86" s="17"/>
      <c r="E86" s="17"/>
      <c r="F86" s="17"/>
      <c r="G86" s="17"/>
      <c r="H86" s="17"/>
      <c r="I86" s="17"/>
      <c r="J86" s="34" t="str">
        <f>IF(ISBLANK(NILAI!S87),"",NILAI!S87)</f>
        <v/>
      </c>
      <c r="K86" s="2"/>
    </row>
    <row r="87" spans="1:11" ht="14.25" customHeight="1">
      <c r="A87" s="34" t="str">
        <f>IF(ISBLANK(IDENTITAS!A104),"",IDENTITAS!A104)</f>
        <v/>
      </c>
      <c r="B87" s="34" t="str">
        <f>IF(ISBLANK(IDENTITAS!B104),"",IDENTITAS!B104)</f>
        <v/>
      </c>
      <c r="C87" s="35" t="str">
        <f>IF(ISBLANK(IDENTITAS!C104),"",IDENTITAS!C104)</f>
        <v/>
      </c>
      <c r="D87" s="17"/>
      <c r="E87" s="17"/>
      <c r="F87" s="17"/>
      <c r="G87" s="17"/>
      <c r="H87" s="17"/>
      <c r="I87" s="17"/>
      <c r="J87" s="34" t="str">
        <f>IF(ISBLANK(NILAI!S88),"",NILAI!S88)</f>
        <v/>
      </c>
      <c r="K87" s="2"/>
    </row>
    <row r="88" spans="1:11" ht="14.25" customHeight="1">
      <c r="A88" s="34" t="str">
        <f>IF(ISBLANK(IDENTITAS!A105),"",IDENTITAS!A105)</f>
        <v/>
      </c>
      <c r="B88" s="34" t="str">
        <f>IF(ISBLANK(IDENTITAS!B105),"",IDENTITAS!B105)</f>
        <v/>
      </c>
      <c r="C88" s="35" t="str">
        <f>IF(ISBLANK(IDENTITAS!C105),"",IDENTITAS!C105)</f>
        <v/>
      </c>
      <c r="D88" s="17"/>
      <c r="E88" s="17"/>
      <c r="F88" s="17"/>
      <c r="G88" s="17"/>
      <c r="H88" s="17"/>
      <c r="I88" s="17"/>
      <c r="J88" s="34" t="str">
        <f>IF(ISBLANK(NILAI!S89),"",NILAI!S89)</f>
        <v/>
      </c>
      <c r="K88" s="2"/>
    </row>
    <row r="89" spans="1:11" ht="14.25" customHeight="1">
      <c r="A89" s="34" t="str">
        <f>IF(ISBLANK(IDENTITAS!A106),"",IDENTITAS!A106)</f>
        <v/>
      </c>
      <c r="B89" s="34" t="str">
        <f>IF(ISBLANK(IDENTITAS!B106),"",IDENTITAS!B106)</f>
        <v/>
      </c>
      <c r="C89" s="35" t="str">
        <f>IF(ISBLANK(IDENTITAS!C106),"",IDENTITAS!C106)</f>
        <v/>
      </c>
      <c r="D89" s="17"/>
      <c r="E89" s="17"/>
      <c r="F89" s="17"/>
      <c r="G89" s="17"/>
      <c r="H89" s="17"/>
      <c r="I89" s="17"/>
      <c r="J89" s="34" t="str">
        <f>IF(ISBLANK(NILAI!S90),"",NILAI!S90)</f>
        <v/>
      </c>
      <c r="K89" s="2"/>
    </row>
    <row r="90" spans="1:11" ht="14.25" customHeight="1">
      <c r="A90" s="34" t="str">
        <f>IF(ISBLANK(IDENTITAS!A107),"",IDENTITAS!A107)</f>
        <v/>
      </c>
      <c r="B90" s="34" t="str">
        <f>IF(ISBLANK(IDENTITAS!B107),"",IDENTITAS!B107)</f>
        <v/>
      </c>
      <c r="C90" s="35" t="str">
        <f>IF(ISBLANK(IDENTITAS!C107),"",IDENTITAS!C107)</f>
        <v/>
      </c>
      <c r="D90" s="17"/>
      <c r="E90" s="17"/>
      <c r="F90" s="17"/>
      <c r="G90" s="17"/>
      <c r="H90" s="17"/>
      <c r="I90" s="17"/>
      <c r="J90" s="34" t="str">
        <f>IF(ISBLANK(NILAI!S91),"",NILAI!S91)</f>
        <v/>
      </c>
      <c r="K90" s="2"/>
    </row>
    <row r="91" spans="1:11" ht="14.25" customHeight="1">
      <c r="A91" s="34" t="str">
        <f>IF(ISBLANK(IDENTITAS!A108),"",IDENTITAS!A108)</f>
        <v/>
      </c>
      <c r="B91" s="34" t="str">
        <f>IF(ISBLANK(IDENTITAS!B108),"",IDENTITAS!B108)</f>
        <v/>
      </c>
      <c r="C91" s="35" t="str">
        <f>IF(ISBLANK(IDENTITAS!C108),"",IDENTITAS!C108)</f>
        <v/>
      </c>
      <c r="D91" s="17"/>
      <c r="E91" s="17"/>
      <c r="F91" s="17"/>
      <c r="G91" s="17"/>
      <c r="H91" s="17"/>
      <c r="I91" s="17"/>
      <c r="J91" s="34" t="str">
        <f>IF(ISBLANK(NILAI!S92),"",NILAI!S92)</f>
        <v/>
      </c>
      <c r="K91" s="2"/>
    </row>
    <row r="92" spans="1:11" ht="14.25" customHeight="1">
      <c r="A92" s="34" t="str">
        <f>IF(ISBLANK(IDENTITAS!A109),"",IDENTITAS!A109)</f>
        <v/>
      </c>
      <c r="B92" s="34" t="str">
        <f>IF(ISBLANK(IDENTITAS!B109),"",IDENTITAS!B109)</f>
        <v/>
      </c>
      <c r="C92" s="35" t="str">
        <f>IF(ISBLANK(IDENTITAS!C109),"",IDENTITAS!C109)</f>
        <v/>
      </c>
      <c r="D92" s="17"/>
      <c r="E92" s="17"/>
      <c r="F92" s="17"/>
      <c r="G92" s="17"/>
      <c r="H92" s="17"/>
      <c r="I92" s="17"/>
      <c r="J92" s="34" t="str">
        <f>IF(ISBLANK(NILAI!S93),"",NILAI!S93)</f>
        <v/>
      </c>
      <c r="K92" s="2"/>
    </row>
    <row r="93" spans="1:11" ht="14.25" customHeight="1">
      <c r="A93" s="34" t="str">
        <f>IF(ISBLANK(IDENTITAS!A110),"",IDENTITAS!A110)</f>
        <v/>
      </c>
      <c r="B93" s="34" t="str">
        <f>IF(ISBLANK(IDENTITAS!B110),"",IDENTITAS!B110)</f>
        <v/>
      </c>
      <c r="C93" s="35" t="str">
        <f>IF(ISBLANK(IDENTITAS!C110),"",IDENTITAS!C110)</f>
        <v/>
      </c>
      <c r="D93" s="17"/>
      <c r="E93" s="17"/>
      <c r="F93" s="17"/>
      <c r="G93" s="17"/>
      <c r="H93" s="17"/>
      <c r="I93" s="17"/>
      <c r="J93" s="34" t="str">
        <f>IF(ISBLANK(NILAI!S94),"",NILAI!S94)</f>
        <v/>
      </c>
      <c r="K93" s="2"/>
    </row>
    <row r="94" spans="1:11" ht="14.25" customHeight="1">
      <c r="A94" s="34" t="str">
        <f>IF(ISBLANK(IDENTITAS!A111),"",IDENTITAS!A111)</f>
        <v/>
      </c>
      <c r="B94" s="34" t="str">
        <f>IF(ISBLANK(IDENTITAS!B111),"",IDENTITAS!B111)</f>
        <v/>
      </c>
      <c r="C94" s="35" t="str">
        <f>IF(ISBLANK(IDENTITAS!C111),"",IDENTITAS!C111)</f>
        <v/>
      </c>
      <c r="D94" s="17"/>
      <c r="E94" s="17"/>
      <c r="F94" s="17"/>
      <c r="G94" s="17"/>
      <c r="H94" s="17"/>
      <c r="I94" s="17"/>
      <c r="J94" s="34" t="str">
        <f>IF(ISBLANK(NILAI!S95),"",NILAI!S95)</f>
        <v/>
      </c>
      <c r="K94" s="2"/>
    </row>
    <row r="95" spans="1:11" ht="14.25" customHeight="1">
      <c r="A95" s="34" t="str">
        <f>IF(ISBLANK(IDENTITAS!A112),"",IDENTITAS!A112)</f>
        <v/>
      </c>
      <c r="B95" s="34" t="str">
        <f>IF(ISBLANK(IDENTITAS!B112),"",IDENTITAS!B112)</f>
        <v/>
      </c>
      <c r="C95" s="35" t="str">
        <f>IF(ISBLANK(IDENTITAS!C112),"",IDENTITAS!C112)</f>
        <v/>
      </c>
      <c r="D95" s="17"/>
      <c r="E95" s="17"/>
      <c r="F95" s="17"/>
      <c r="G95" s="17"/>
      <c r="H95" s="17"/>
      <c r="I95" s="17"/>
      <c r="J95" s="34" t="str">
        <f>IF(ISBLANK(NILAI!S96),"",NILAI!S96)</f>
        <v/>
      </c>
      <c r="K95" s="2"/>
    </row>
    <row r="96" spans="1:11" ht="14.25" customHeight="1">
      <c r="A96" s="34" t="str">
        <f>IF(ISBLANK(IDENTITAS!A113),"",IDENTITAS!A113)</f>
        <v/>
      </c>
      <c r="B96" s="34" t="str">
        <f>IF(ISBLANK(IDENTITAS!B113),"",IDENTITAS!B113)</f>
        <v/>
      </c>
      <c r="C96" s="35" t="str">
        <f>IF(ISBLANK(IDENTITAS!C113),"",IDENTITAS!C113)</f>
        <v/>
      </c>
      <c r="D96" s="17"/>
      <c r="E96" s="17"/>
      <c r="F96" s="17"/>
      <c r="G96" s="17"/>
      <c r="H96" s="17"/>
      <c r="I96" s="17"/>
      <c r="J96" s="34" t="str">
        <f>IF(ISBLANK(NILAI!S97),"",NILAI!S97)</f>
        <v/>
      </c>
      <c r="K96" s="2"/>
    </row>
    <row r="97" spans="1:11" ht="14.25" customHeight="1">
      <c r="A97" s="34" t="str">
        <f>IF(ISBLANK(IDENTITAS!A114),"",IDENTITAS!A114)</f>
        <v/>
      </c>
      <c r="B97" s="34" t="str">
        <f>IF(ISBLANK(IDENTITAS!B114),"",IDENTITAS!B114)</f>
        <v/>
      </c>
      <c r="C97" s="35" t="str">
        <f>IF(ISBLANK(IDENTITAS!C114),"",IDENTITAS!C114)</f>
        <v/>
      </c>
      <c r="D97" s="17"/>
      <c r="E97" s="17"/>
      <c r="F97" s="17"/>
      <c r="G97" s="17"/>
      <c r="H97" s="17"/>
      <c r="I97" s="17"/>
      <c r="J97" s="34" t="str">
        <f>IF(ISBLANK(NILAI!S98),"",NILAI!S98)</f>
        <v/>
      </c>
      <c r="K97" s="2"/>
    </row>
    <row r="98" spans="1:11" ht="14.25" customHeight="1">
      <c r="A98" s="34" t="str">
        <f>IF(ISBLANK(IDENTITAS!A115),"",IDENTITAS!A115)</f>
        <v/>
      </c>
      <c r="B98" s="34" t="str">
        <f>IF(ISBLANK(IDENTITAS!B115),"",IDENTITAS!B115)</f>
        <v/>
      </c>
      <c r="C98" s="35" t="str">
        <f>IF(ISBLANK(IDENTITAS!C115),"",IDENTITAS!C115)</f>
        <v/>
      </c>
      <c r="D98" s="17"/>
      <c r="E98" s="17"/>
      <c r="F98" s="17"/>
      <c r="G98" s="17"/>
      <c r="H98" s="17"/>
      <c r="I98" s="17"/>
      <c r="J98" s="34" t="str">
        <f>IF(ISBLANK(NILAI!S99),"",NILAI!S99)</f>
        <v/>
      </c>
      <c r="K98" s="2"/>
    </row>
    <row r="99" spans="1:11" ht="14.25" customHeight="1">
      <c r="A99" s="34" t="str">
        <f>IF(ISBLANK(IDENTITAS!A116),"",IDENTITAS!A116)</f>
        <v/>
      </c>
      <c r="B99" s="34" t="str">
        <f>IF(ISBLANK(IDENTITAS!B116),"",IDENTITAS!B116)</f>
        <v/>
      </c>
      <c r="C99" s="35" t="str">
        <f>IF(ISBLANK(IDENTITAS!C116),"",IDENTITAS!C116)</f>
        <v/>
      </c>
      <c r="D99" s="17"/>
      <c r="E99" s="17"/>
      <c r="F99" s="17"/>
      <c r="G99" s="17"/>
      <c r="H99" s="17"/>
      <c r="I99" s="17"/>
      <c r="J99" s="34" t="str">
        <f>IF(ISBLANK(NILAI!S100),"",NILAI!S100)</f>
        <v/>
      </c>
      <c r="K99" s="2"/>
    </row>
    <row r="100" spans="1:11" ht="14.25" customHeight="1">
      <c r="A100" s="34" t="str">
        <f>IF(ISBLANK(IDENTITAS!A117),"",IDENTITAS!A117)</f>
        <v/>
      </c>
      <c r="B100" s="34" t="str">
        <f>IF(ISBLANK(IDENTITAS!B117),"",IDENTITAS!B117)</f>
        <v/>
      </c>
      <c r="C100" s="35" t="str">
        <f>IF(ISBLANK(IDENTITAS!C117),"",IDENTITAS!C117)</f>
        <v/>
      </c>
      <c r="D100" s="17"/>
      <c r="E100" s="17"/>
      <c r="F100" s="17"/>
      <c r="G100" s="17"/>
      <c r="H100" s="17"/>
      <c r="I100" s="17"/>
      <c r="J100" s="34" t="str">
        <f>IF(ISBLANK(NILAI!S101),"",NILAI!S101)</f>
        <v/>
      </c>
      <c r="K100" s="2"/>
    </row>
    <row r="101" spans="1:11" ht="14.25" customHeight="1">
      <c r="A101" s="34" t="str">
        <f>IF(ISBLANK(IDENTITAS!A118),"",IDENTITAS!A118)</f>
        <v/>
      </c>
      <c r="B101" s="34" t="str">
        <f>IF(ISBLANK(IDENTITAS!B118),"",IDENTITAS!B118)</f>
        <v/>
      </c>
      <c r="C101" s="35" t="str">
        <f>IF(ISBLANK(IDENTITAS!C118),"",IDENTITAS!C118)</f>
        <v/>
      </c>
      <c r="D101" s="17"/>
      <c r="E101" s="17"/>
      <c r="F101" s="17"/>
      <c r="G101" s="17"/>
      <c r="H101" s="17"/>
      <c r="I101" s="17"/>
      <c r="J101" s="34" t="str">
        <f>IF(ISBLANK(NILAI!S102),"",NILAI!S102)</f>
        <v/>
      </c>
      <c r="K101" s="2"/>
    </row>
    <row r="102" spans="1:11" ht="14.25" customHeight="1">
      <c r="A102" s="34" t="str">
        <f>IF(ISBLANK(IDENTITAS!A119),"",IDENTITAS!A119)</f>
        <v/>
      </c>
      <c r="B102" s="34" t="str">
        <f>IF(ISBLANK(IDENTITAS!B119),"",IDENTITAS!B119)</f>
        <v/>
      </c>
      <c r="C102" s="35" t="str">
        <f>IF(ISBLANK(IDENTITAS!C119),"",IDENTITAS!C119)</f>
        <v/>
      </c>
      <c r="D102" s="17"/>
      <c r="E102" s="17"/>
      <c r="F102" s="17"/>
      <c r="G102" s="17"/>
      <c r="H102" s="17"/>
      <c r="I102" s="17"/>
      <c r="J102" s="34" t="str">
        <f>IF(ISBLANK(NILAI!S103),"",NILAI!S103)</f>
        <v/>
      </c>
      <c r="K102" s="2"/>
    </row>
    <row r="103" spans="1:11" ht="14.25" customHeight="1">
      <c r="A103" s="34" t="str">
        <f>IF(ISBLANK(IDENTITAS!A120),"",IDENTITAS!A120)</f>
        <v/>
      </c>
      <c r="B103" s="34" t="str">
        <f>IF(ISBLANK(IDENTITAS!B120),"",IDENTITAS!B120)</f>
        <v/>
      </c>
      <c r="C103" s="35" t="str">
        <f>IF(ISBLANK(IDENTITAS!C120),"",IDENTITAS!C120)</f>
        <v/>
      </c>
      <c r="D103" s="17"/>
      <c r="E103" s="17"/>
      <c r="F103" s="17"/>
      <c r="G103" s="17"/>
      <c r="H103" s="17"/>
      <c r="I103" s="17"/>
      <c r="J103" s="34" t="str">
        <f>IF(ISBLANK(NILAI!S104),"",NILAI!S104)</f>
        <v/>
      </c>
      <c r="K103" s="2"/>
    </row>
    <row r="104" spans="1:11" ht="14.25" customHeight="1"/>
    <row r="105" spans="1:11" ht="14.25" customHeight="1"/>
    <row r="106" spans="1:11" ht="14.25" customHeight="1"/>
    <row r="107" spans="1:11" ht="14.25" customHeight="1"/>
    <row r="108" spans="1:11" ht="14.25" customHeight="1"/>
    <row r="109" spans="1:11" ht="14.25" customHeight="1"/>
    <row r="110" spans="1:11" ht="14.25" customHeight="1"/>
    <row r="111" spans="1:11" ht="14.25" customHeight="1"/>
    <row r="112" spans="1:11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7">
    <mergeCell ref="J1:J2"/>
    <mergeCell ref="K1:K2"/>
    <mergeCell ref="A1:A2"/>
    <mergeCell ref="B1:B2"/>
    <mergeCell ref="C1:C2"/>
    <mergeCell ref="D1:F1"/>
    <mergeCell ref="G1:I1"/>
  </mergeCells>
  <pageMargins left="0.7" right="0.7" top="0.75" bottom="0.75" header="0" footer="0"/>
  <pageSetup orientation="landscape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6"/>
  <dimension ref="A1:O1000"/>
  <sheetViews>
    <sheetView workbookViewId="0">
      <selection activeCell="P9" sqref="P9"/>
    </sheetView>
  </sheetViews>
  <sheetFormatPr defaultColWidth="14.42578125" defaultRowHeight="15" customHeight="1"/>
  <cols>
    <col min="1" max="2" width="4" customWidth="1"/>
    <col min="3" max="3" width="5.85546875" customWidth="1"/>
    <col min="4" max="4" width="10.5703125" customWidth="1"/>
    <col min="5" max="5" width="9" customWidth="1"/>
    <col min="6" max="6" width="21.42578125" customWidth="1"/>
    <col min="7" max="7" width="19" customWidth="1"/>
    <col min="8" max="8" width="12.85546875" customWidth="1"/>
    <col min="9" max="9" width="8.42578125" customWidth="1"/>
    <col min="10" max="12" width="8.7109375" customWidth="1"/>
    <col min="13" max="13" width="14" customWidth="1"/>
    <col min="14" max="26" width="8.7109375" customWidth="1"/>
  </cols>
  <sheetData>
    <row r="1" spans="1:15" ht="14.25" customHeight="1">
      <c r="A1" s="152" t="s">
        <v>170</v>
      </c>
      <c r="B1" s="117"/>
      <c r="C1" s="117"/>
      <c r="D1" s="117"/>
      <c r="E1" s="117"/>
      <c r="F1" s="117"/>
      <c r="G1" s="117"/>
      <c r="H1" s="117"/>
    </row>
    <row r="2" spans="1:15" ht="14.25" customHeight="1">
      <c r="A2" s="40"/>
      <c r="B2" s="40"/>
    </row>
    <row r="3" spans="1:15" ht="14.25" customHeight="1">
      <c r="A3" s="41" t="s">
        <v>171</v>
      </c>
      <c r="B3" s="41"/>
      <c r="D3" s="22" t="str">
        <f>": "&amp;IDENTITAS!C2</f>
        <v>: ARRODLIYAH</v>
      </c>
      <c r="G3" s="22" t="s">
        <v>172</v>
      </c>
      <c r="H3" s="22" t="str">
        <f>": "&amp;IDENTITAS!C10</f>
        <v>: I (SATU)</v>
      </c>
      <c r="M3" s="153" t="s">
        <v>6</v>
      </c>
      <c r="N3" s="154"/>
      <c r="O3" s="112"/>
    </row>
    <row r="4" spans="1:15" ht="14.25" customHeight="1">
      <c r="A4" s="41" t="s">
        <v>173</v>
      </c>
      <c r="B4" s="41"/>
      <c r="D4" s="22" t="str">
        <f>": "&amp;IDENTITAS!C5</f>
        <v>: DUKUHTURI</v>
      </c>
      <c r="G4" s="22" t="s">
        <v>174</v>
      </c>
      <c r="H4" s="22" t="s">
        <v>175</v>
      </c>
      <c r="M4" s="155" t="s">
        <v>10</v>
      </c>
      <c r="N4" s="156"/>
      <c r="O4" s="114"/>
    </row>
    <row r="5" spans="1:15" ht="14.25" customHeight="1">
      <c r="A5" s="41" t="s">
        <v>176</v>
      </c>
      <c r="B5" s="41"/>
      <c r="D5" s="22" t="str">
        <f>IF(ISBLANK(J7),"",": "&amp;IFERROR(VLOOKUP(J7,Nilai,3,FALSE),""))</f>
        <v>: SANTRI 1</v>
      </c>
      <c r="G5" s="22" t="s">
        <v>177</v>
      </c>
      <c r="H5" s="22" t="str">
        <f>": "&amp;IDENTITAS!C11</f>
        <v>: 1446 / 1447</v>
      </c>
      <c r="M5" s="157" t="s">
        <v>14</v>
      </c>
      <c r="N5" s="156"/>
      <c r="O5" s="114"/>
    </row>
    <row r="6" spans="1:15" ht="14.25" customHeight="1">
      <c r="A6" s="41" t="s">
        <v>178</v>
      </c>
      <c r="B6" s="41"/>
      <c r="D6" s="22" t="str">
        <f>IF(ISBLANK(J7),"",": "&amp;IFERROR(VLOOKUP(J7,Nilai,2,FALSE),""))</f>
        <v>: 2345</v>
      </c>
      <c r="H6" s="22" t="str">
        <f>"  "&amp;IDENTITAS!C12</f>
        <v xml:space="preserve">  2025 / 2026</v>
      </c>
    </row>
    <row r="7" spans="1:15" ht="14.25" customHeight="1">
      <c r="A7" s="40"/>
      <c r="B7" s="40"/>
      <c r="J7" s="158">
        <v>1</v>
      </c>
      <c r="K7" s="149" t="s">
        <v>110</v>
      </c>
      <c r="L7" s="117"/>
      <c r="M7" s="117"/>
    </row>
    <row r="8" spans="1:15" ht="14.25" customHeight="1">
      <c r="A8" s="159" t="s">
        <v>179</v>
      </c>
      <c r="B8" s="161" t="s">
        <v>180</v>
      </c>
      <c r="C8" s="140"/>
      <c r="D8" s="141"/>
      <c r="E8" s="162" t="s">
        <v>181</v>
      </c>
      <c r="F8" s="105"/>
      <c r="G8" s="99"/>
      <c r="H8" s="160" t="s">
        <v>182</v>
      </c>
      <c r="J8" s="129"/>
      <c r="K8" s="117"/>
      <c r="L8" s="117"/>
      <c r="M8" s="117"/>
    </row>
    <row r="9" spans="1:15" ht="14.25" customHeight="1">
      <c r="A9" s="103"/>
      <c r="B9" s="144"/>
      <c r="C9" s="136"/>
      <c r="D9" s="137"/>
      <c r="E9" s="42" t="s">
        <v>183</v>
      </c>
      <c r="F9" s="162" t="s">
        <v>184</v>
      </c>
      <c r="G9" s="99"/>
      <c r="H9" s="103"/>
    </row>
    <row r="10" spans="1:15" ht="14.25" customHeight="1">
      <c r="A10" s="43">
        <v>1</v>
      </c>
      <c r="B10" s="163" t="s">
        <v>185</v>
      </c>
      <c r="C10" s="105"/>
      <c r="D10" s="105"/>
      <c r="E10" s="105"/>
      <c r="F10" s="105"/>
      <c r="G10" s="99"/>
      <c r="H10" s="2"/>
      <c r="L10" s="150" t="s">
        <v>186</v>
      </c>
      <c r="M10" s="117"/>
      <c r="N10" s="117"/>
      <c r="O10" s="117"/>
    </row>
    <row r="11" spans="1:15" ht="14.25" customHeight="1">
      <c r="A11" s="43"/>
      <c r="B11" s="44" t="s">
        <v>187</v>
      </c>
      <c r="C11" s="164" t="str">
        <f>IF(OR(IDENTITAS!F2="",IDENTITAS!F2=0),"",IDENTITAS!F2)</f>
        <v>AL QUR'AN</v>
      </c>
      <c r="D11" s="99"/>
      <c r="E11" s="17">
        <f>IF(ISBLANK(J7),"",IFERROR(IF(VLOOKUP(J7,Nilai,4,FALSE)="","",VLOOKUP(J7,Nilai,4,FALSE)),""))</f>
        <v>100</v>
      </c>
      <c r="F11" s="134" t="str">
        <f t="shared" ref="F11:F20" si="0">IF(OR(E11="",E11=0),"",IF(E11=100,"Seratus",VLOOKUP(LEFT(E11,1)*1,Puluhan,2)&amp;" "&amp;VLOOKUP(MID(E11,2,1)*1,Satuan,2)))</f>
        <v>Seratus</v>
      </c>
      <c r="G11" s="99"/>
      <c r="H11" s="46">
        <f>IF(OR(E11="",E11=0),"",NILAI!D106)</f>
        <v>78.8</v>
      </c>
      <c r="L11" s="151" t="s">
        <v>188</v>
      </c>
      <c r="M11" s="105"/>
      <c r="N11" s="151" t="s">
        <v>189</v>
      </c>
      <c r="O11" s="99"/>
    </row>
    <row r="12" spans="1:15" ht="14.25" customHeight="1">
      <c r="A12" s="43"/>
      <c r="B12" s="44" t="s">
        <v>190</v>
      </c>
      <c r="C12" s="164" t="str">
        <f>IF(OR(IDENTITAS!F3="",IDENTITAS!F3=0),"",IDENTITAS!F3)</f>
        <v>AL HADITS</v>
      </c>
      <c r="D12" s="99"/>
      <c r="E12" s="17">
        <f>IF(ISBLANK(J7),"",IFERROR(IF(VLOOKUP(J7,Nilai,5,FALSE)="","",VLOOKUP(J7,Nilai,5,FALSE)),""))</f>
        <v>90</v>
      </c>
      <c r="F12" s="134" t="str">
        <f t="shared" si="0"/>
        <v xml:space="preserve">Sembilan puluh </v>
      </c>
      <c r="G12" s="99"/>
      <c r="H12" s="46">
        <f>IF(OR(E12="",E12=0),"",NILAI!E106)</f>
        <v>79.400000000000006</v>
      </c>
      <c r="L12" s="2">
        <v>0</v>
      </c>
      <c r="M12" s="45"/>
      <c r="N12" s="2">
        <v>0</v>
      </c>
      <c r="O12" s="2"/>
    </row>
    <row r="13" spans="1:15" ht="14.25" customHeight="1">
      <c r="A13" s="43"/>
      <c r="B13" s="44" t="s">
        <v>191</v>
      </c>
      <c r="C13" s="164" t="str">
        <f>IF(OR(IDENTITAS!F4="",IDENTITAS!F4=0),"",IDENTITAS!F4)</f>
        <v>AQIDAH</v>
      </c>
      <c r="D13" s="99"/>
      <c r="E13" s="17">
        <f>IF(ISBLANK(J7),"",IFERROR(IF(VLOOKUP(J7,Nilai,6,FALSE)="","",VLOOKUP(J7,Nilai,6,FALSE)),""))</f>
        <v>87</v>
      </c>
      <c r="F13" s="134" t="str">
        <f t="shared" si="0"/>
        <v>Delapan puluh tujuh</v>
      </c>
      <c r="G13" s="99"/>
      <c r="H13" s="46">
        <f>IF(OR(E13="",E13=0),"",NILAI!F106)</f>
        <v>77.400000000000006</v>
      </c>
      <c r="L13" s="2">
        <v>1</v>
      </c>
      <c r="M13" s="45"/>
      <c r="N13" s="2">
        <v>1</v>
      </c>
      <c r="O13" s="2" t="s">
        <v>192</v>
      </c>
    </row>
    <row r="14" spans="1:15" ht="14.25" customHeight="1">
      <c r="A14" s="43"/>
      <c r="B14" s="44" t="s">
        <v>193</v>
      </c>
      <c r="C14" s="164" t="str">
        <f>IF(OR(IDENTITAS!F5="",IDENTITAS!F5=0),"",IDENTITAS!F5)</f>
        <v>AKHLAQ</v>
      </c>
      <c r="D14" s="99"/>
      <c r="E14" s="17">
        <f>IF(ISBLANK(J7),"",IFERROR(IF(VLOOKUP(J7,Nilai,7,FALSE)="","",VLOOKUP(J7,Nilai,7,FALSE)),""))</f>
        <v>95</v>
      </c>
      <c r="F14" s="134" t="str">
        <f t="shared" si="0"/>
        <v>Sembilan puluh lima</v>
      </c>
      <c r="G14" s="99"/>
      <c r="H14" s="46">
        <f>IF(OR(E14="",E14=0),"",NILAI!G106)</f>
        <v>87.6</v>
      </c>
      <c r="L14" s="2">
        <v>2</v>
      </c>
      <c r="M14" s="45" t="s">
        <v>194</v>
      </c>
      <c r="N14" s="2">
        <v>2</v>
      </c>
      <c r="O14" s="2" t="s">
        <v>195</v>
      </c>
    </row>
    <row r="15" spans="1:15" ht="14.25" customHeight="1">
      <c r="A15" s="43"/>
      <c r="B15" s="44" t="s">
        <v>196</v>
      </c>
      <c r="C15" s="164" t="str">
        <f>IF(OR(IDENTITAS!F6="",IDENTITAS!F6=0),"",IDENTITAS!F6)</f>
        <v>FIQIH</v>
      </c>
      <c r="D15" s="99"/>
      <c r="E15" s="17">
        <f>IF(ISBLANK(J7),"",IFERROR(IF(VLOOKUP(J7,Nilai,8,FALSE)="","",VLOOKUP(J7,Nilai,8,FALSE)),""))</f>
        <v>85</v>
      </c>
      <c r="F15" s="134" t="str">
        <f t="shared" si="0"/>
        <v>Delapan puluh lima</v>
      </c>
      <c r="G15" s="99"/>
      <c r="H15" s="46">
        <f>IF(OR(E15="",E15=0),"",NILAI!H106)</f>
        <v>80</v>
      </c>
      <c r="L15" s="2">
        <v>3</v>
      </c>
      <c r="M15" s="45" t="s">
        <v>197</v>
      </c>
      <c r="N15" s="2">
        <v>3</v>
      </c>
      <c r="O15" s="2" t="s">
        <v>198</v>
      </c>
    </row>
    <row r="16" spans="1:15" ht="14.25" customHeight="1">
      <c r="A16" s="43"/>
      <c r="B16" s="44" t="s">
        <v>199</v>
      </c>
      <c r="C16" s="164" t="str">
        <f>IF(OR(IDENTITAS!F7="",IDENTITAS!F7=0),"",IDENTITAS!F7)</f>
        <v>TARIKH ISLAM</v>
      </c>
      <c r="D16" s="99"/>
      <c r="E16" s="17">
        <f>IF(ISBLANK(J7),"",IFERROR(IF(VLOOKUP(J7,Nilai,9,FALSE)="","",VLOOKUP(J7,Nilai,9,FALSE)),""))</f>
        <v>78</v>
      </c>
      <c r="F16" s="134" t="str">
        <f t="shared" si="0"/>
        <v>Tujuh puluh delapan</v>
      </c>
      <c r="G16" s="99"/>
      <c r="H16" s="46">
        <f>IF(OR(E16="",E16=0),"",NILAI!I106)</f>
        <v>81.599999999999994</v>
      </c>
      <c r="L16" s="2">
        <v>4</v>
      </c>
      <c r="M16" s="45" t="s">
        <v>200</v>
      </c>
      <c r="N16" s="2">
        <v>4</v>
      </c>
      <c r="O16" s="2" t="s">
        <v>201</v>
      </c>
    </row>
    <row r="17" spans="1:15" ht="14.25" customHeight="1">
      <c r="A17" s="43"/>
      <c r="B17" s="44" t="s">
        <v>202</v>
      </c>
      <c r="C17" s="164" t="str">
        <f>IF(OR(IDENTITAS!F8="",IDENTITAS!F8=0),"",IDENTITAS!F8)</f>
        <v>BAHASA ARAB</v>
      </c>
      <c r="D17" s="99"/>
      <c r="E17" s="17">
        <f>IF(ISBLANK(J7),"",IFERROR(IF(VLOOKUP(J7,Nilai,10,FALSE)="","",VLOOKUP(J7,Nilai,10,FALSE)),""))</f>
        <v>88</v>
      </c>
      <c r="F17" s="134" t="str">
        <f t="shared" si="0"/>
        <v>Delapan puluh delapan</v>
      </c>
      <c r="G17" s="99"/>
      <c r="H17" s="46">
        <f>IF(OR(E17="",E17=0),"",NILAI!J106)</f>
        <v>83.4</v>
      </c>
      <c r="L17" s="2">
        <v>5</v>
      </c>
      <c r="M17" s="45" t="s">
        <v>203</v>
      </c>
      <c r="N17" s="2">
        <v>5</v>
      </c>
      <c r="O17" s="2" t="s">
        <v>204</v>
      </c>
    </row>
    <row r="18" spans="1:15" ht="14.25" customHeight="1">
      <c r="A18" s="43"/>
      <c r="B18" s="44" t="s">
        <v>205</v>
      </c>
      <c r="C18" s="164" t="str">
        <f>IF(OR(IDENTITAS!F9="",IDENTITAS!F9=0),"",IDENTITAS!F9)</f>
        <v>NAHWU</v>
      </c>
      <c r="D18" s="99"/>
      <c r="E18" s="17">
        <f>IF(ISBLANK(J7),"",IFERROR(IF(VLOOKUP(J7,Nilai,11,FALSE)="","",VLOOKUP(J7,Nilai,11,FALSE)),""))</f>
        <v>80</v>
      </c>
      <c r="F18" s="134" t="str">
        <f t="shared" si="0"/>
        <v xml:space="preserve">Delapan puluh </v>
      </c>
      <c r="G18" s="99"/>
      <c r="H18" s="46">
        <f>IF(OR(E18="",E18=0),"",NILAI!K106)</f>
        <v>79.400000000000006</v>
      </c>
      <c r="L18" s="2">
        <v>6</v>
      </c>
      <c r="M18" s="45" t="s">
        <v>206</v>
      </c>
      <c r="N18" s="2">
        <v>6</v>
      </c>
      <c r="O18" s="2" t="s">
        <v>207</v>
      </c>
    </row>
    <row r="19" spans="1:15" ht="14.25" customHeight="1">
      <c r="A19" s="43"/>
      <c r="B19" s="44" t="s">
        <v>208</v>
      </c>
      <c r="C19" s="164" t="str">
        <f>IF(OR(IDENTITAS!F10="",IDENTITAS!F10=0),"",IDENTITAS!F10)</f>
        <v>SHARAF</v>
      </c>
      <c r="D19" s="99"/>
      <c r="E19" s="17">
        <f>IF(ISBLANK(J7),"",IFERROR(IF(VLOOKUP(J7,Nilai,12,FALSE)="","",VLOOKUP(J7,Nilai,12,FALSE)),""))</f>
        <v>82</v>
      </c>
      <c r="F19" s="134" t="str">
        <f t="shared" si="0"/>
        <v>Delapan puluh dua</v>
      </c>
      <c r="G19" s="99"/>
      <c r="H19" s="46">
        <f>IF(OR(E19="",E19=0),"",NILAI!L106)</f>
        <v>77</v>
      </c>
      <c r="L19" s="2">
        <v>7</v>
      </c>
      <c r="M19" s="45" t="s">
        <v>209</v>
      </c>
      <c r="N19" s="2">
        <v>7</v>
      </c>
      <c r="O19" s="2" t="s">
        <v>210</v>
      </c>
    </row>
    <row r="20" spans="1:15" ht="14.25" customHeight="1">
      <c r="A20" s="43"/>
      <c r="B20" s="44" t="s">
        <v>211</v>
      </c>
      <c r="C20" s="164" t="str">
        <f>IF(OR(IDENTITAS!F11="",IDENTITAS!F11=0),"",IDENTITAS!F11)</f>
        <v/>
      </c>
      <c r="D20" s="99"/>
      <c r="E20" s="17" t="str">
        <f>IF(ISBLANK(J7),"",IFERROR(IF(VLOOKUP(J7,Nilai,13,FALSE)="","",VLOOKUP(J7,Nilai,13,FALSE)),""))</f>
        <v/>
      </c>
      <c r="F20" s="134" t="str">
        <f t="shared" si="0"/>
        <v/>
      </c>
      <c r="G20" s="99"/>
      <c r="H20" s="46" t="str">
        <f>IF(OR(E20="",E20=0),"",NILAI!M106)</f>
        <v/>
      </c>
      <c r="L20" s="47">
        <v>8</v>
      </c>
      <c r="M20" s="48" t="s">
        <v>212</v>
      </c>
      <c r="N20" s="47">
        <v>8</v>
      </c>
      <c r="O20" s="47" t="s">
        <v>213</v>
      </c>
    </row>
    <row r="21" spans="1:15" ht="14.25" customHeight="1">
      <c r="A21" s="43">
        <v>2</v>
      </c>
      <c r="B21" s="163" t="s">
        <v>214</v>
      </c>
      <c r="C21" s="105"/>
      <c r="D21" s="105"/>
      <c r="E21" s="105"/>
      <c r="F21" s="105"/>
      <c r="G21" s="99"/>
      <c r="H21" s="49"/>
      <c r="L21" s="2">
        <v>9</v>
      </c>
      <c r="M21" s="2" t="s">
        <v>215</v>
      </c>
      <c r="N21" s="2">
        <v>9</v>
      </c>
      <c r="O21" s="2" t="s">
        <v>216</v>
      </c>
    </row>
    <row r="22" spans="1:15" ht="14.25" customHeight="1">
      <c r="A22" s="43"/>
      <c r="B22" s="44" t="s">
        <v>187</v>
      </c>
      <c r="C22" s="164" t="str">
        <f>IF(OR(IDENTITAS!F12="",IDENTITAS!F12=0),"",IDENTITAS!F12)</f>
        <v>PRAKTIK IBADAH</v>
      </c>
      <c r="D22" s="99"/>
      <c r="E22" s="17">
        <f>IF(ISBLANK(J7),"",IFERROR(IF(VLOOKUP(J7,Nilai,14,FALSE)="","",VLOOKUP(J7,Nilai,14,FALSE)),""))</f>
        <v>85</v>
      </c>
      <c r="F22" s="134" t="str">
        <f>IF(OR(E22="",E22=0),"",IF(E22=100,"Seratus",VLOOKUP(LEFT(E22,1)*1,Puluhan,2)&amp;" "&amp;VLOOKUP(MID(E22,2,1)*1,Satuan,2)))</f>
        <v>Delapan puluh lima</v>
      </c>
      <c r="G22" s="99"/>
      <c r="H22" s="46">
        <f>IF(OR(E22="",E22=0),"",NILAI!N106)</f>
        <v>82</v>
      </c>
      <c r="L22" s="4"/>
      <c r="M22" s="4"/>
      <c r="N22" s="4"/>
      <c r="O22" s="4"/>
    </row>
    <row r="23" spans="1:15" ht="14.25" customHeight="1">
      <c r="A23" s="43"/>
      <c r="B23" s="44" t="s">
        <v>190</v>
      </c>
      <c r="C23" s="164" t="str">
        <f>IF(OR(IDENTITAS!F13="",IDENTITAS!F13=0),"",IDENTITAS!F13)</f>
        <v>BTQ</v>
      </c>
      <c r="D23" s="99"/>
      <c r="E23" s="17">
        <f>IF(ISBLANK(J7),"",IFERROR(IF(VLOOKUP(J7,Nilai,15,FALSE)="","",VLOOKUP(J7,Nilai,15,FALSE)),""))</f>
        <v>80</v>
      </c>
      <c r="F23" s="134" t="str">
        <f>IF(OR(E23="",E23=0),"",IF(E23=100,"Seratus",VLOOKUP(LEFT(E23,1)*1,Puluhan,2)&amp;" "&amp;VLOOKUP(MID(E23,2,1)*1,Satuan,2)))</f>
        <v xml:space="preserve">Delapan puluh </v>
      </c>
      <c r="G23" s="99"/>
      <c r="H23" s="46">
        <f>IF(OR(E23="",E23=0),"",NILAI!O106)</f>
        <v>75.2</v>
      </c>
      <c r="L23" s="4"/>
      <c r="M23" s="4"/>
      <c r="N23" s="4"/>
      <c r="O23" s="4"/>
    </row>
    <row r="24" spans="1:15" ht="14.25" customHeight="1">
      <c r="A24" s="43"/>
      <c r="B24" s="44" t="s">
        <v>191</v>
      </c>
      <c r="C24" s="164" t="str">
        <f>IF(OR(IDENTITAS!F14="",IDENTITAS!F14=0),"",IDENTITAS!F14)</f>
        <v>Ke-NU-an</v>
      </c>
      <c r="D24" s="99"/>
      <c r="E24" s="17">
        <f>IF(ISBLANK(J7),"",IFERROR(IF(VLOOKUP(J7,Nilai,16,FALSE)="","",VLOOKUP(J7,Nilai,16,FALSE)),""))</f>
        <v>77</v>
      </c>
      <c r="F24" s="134" t="str">
        <f>IF(OR(E24="",E24=0),"",IF(E24=100,"Seratus",VLOOKUP(LEFT(E24,1)*1,Puluhan,2)&amp;" "&amp;VLOOKUP(MID(E24,2,1)*1,Satuan,2)))</f>
        <v>Tujuh puluh tujuh</v>
      </c>
      <c r="G24" s="99"/>
      <c r="H24" s="46">
        <f>IF(OR(E24="",E24=0),"",NILAI!P106)</f>
        <v>75.400000000000006</v>
      </c>
      <c r="L24" s="22" t="s">
        <v>150</v>
      </c>
      <c r="M24" s="4"/>
      <c r="N24" s="4"/>
      <c r="O24" s="4"/>
    </row>
    <row r="25" spans="1:15" ht="14.25" customHeight="1">
      <c r="A25" s="43"/>
      <c r="B25" s="147" t="s">
        <v>105</v>
      </c>
      <c r="C25" s="105"/>
      <c r="D25" s="99"/>
      <c r="E25" s="50">
        <f>IF(ISBLANK(J7),"",IFERROR(VLOOKUP(J7,Nilai,17,FALSE),""))</f>
        <v>1027</v>
      </c>
      <c r="F25" s="134" t="str">
        <f>REPLACE(LOWER(L25),1,1,UPPER(LEFT(L25,1)))</f>
        <v>Seribu dua puluh tujuh</v>
      </c>
      <c r="G25" s="99"/>
      <c r="H25" s="46">
        <f>IF(H11="","",SUM(H11:H24))</f>
        <v>957.19999999999993</v>
      </c>
      <c r="L25" s="51" t="str">
        <f>(IF(E25="","",IF(E25=0,"nol",IF(E25&lt;0,"minus ","")&amp;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IF(--MID(TEXT(ABS(E25),"000000000000000"),1,3)=0,"",MID(TEXT(ABS(E25),"000000000000000"),1,1)&amp;" ratus "&amp;MID(TEXT(ABS(E25),"000000000000000"),2,1)&amp;" puluh "&amp;MID(TEXT(ABS(E25),"000000000000000"),3,1)&amp;" trilyun ")&amp;IF(--MID(TEXT(ABS(E25),"000000000000000"),4,3)=0,"",MID(TEXT(ABS(E25),"000000000000000"),4,1)&amp;" ratus "&amp;MID(TEXT(ABS(E25),"000000000000000"),5,1)&amp;" puluh "&amp;MID(TEXT(ABS(E25),"000000000000000"),6,1)&amp;" milyar ")&amp;IF(--MID(TEXT(ABS(E25),"000000000000000"),7,3)=0,"",MID(TEXT(ABS(E25),"000000000000000"),7,1)&amp;" ratus "&amp;MID(TEXT(ABS(E25),"000000000000000"),8,1)&amp;" puluh "&amp;MID(TEXT(ABS(E25),"000000000000000"),9,1)&amp;" juta ")&amp;IF(--MID(TEXT(ABS(E25),"000000000000000"),10,3)=0,"",IF(--MID(TEXT(ABS(E25),"000000000000000"),10,3)=1,"*",MID(TEXT(ABS(E25),"000000000000000"),10,1)&amp;" ratus "&amp;MID(TEXT(ABS(E25),"000000000000000"),11,1)&amp;" puluh ")&amp;MID(TEXT(ABS(E25),"000000000000000"),12,1)&amp;" ribu ")&amp;IF(--MID(TEXT(ABS(E25),"000000000000000"),13,3)=0,"",MID(TEXT(ABS(E25),"000000000000000"),13,1)&amp;" ratus "&amp;MID(TEXT(ABS(E25),"000000000000000"),14,1)&amp;" puluh "&amp;MID(TEXT(ABS(E25),"000000000000000"),15,1)),1,"satu"),2,"dua"),3,"tiga"),4,"empat"),5,"lima"),6,"enam"),7,"tujuh"),8,"delapan"),9,"sembilan"),"0 ratus",""),"0 puluh",""),"satu puluh 0","sepuluh"),"satu puluh satu","sebelas"),"satu puluh dua","dua belas"),"satu puluh tiga","tiga belas"),"satu puluh empat","empat belas"),"satu puluh lima","lima belas"),"satu puluh enam","enam belas"),"satu puluh tujuh","tujuh belas"),"satu puluh delapan","delapan belas"),"satu puluh sembilan","sembilan belas"),"satu ratus","seratus"),"*satu ribu","seribu"),0,""))," "," "))))</f>
        <v>seribu dua puluh tujuh</v>
      </c>
      <c r="M25" s="51"/>
      <c r="N25" s="51"/>
      <c r="O25" s="52"/>
    </row>
    <row r="26" spans="1:15" ht="16.5" customHeight="1">
      <c r="A26" s="148" t="str">
        <f>IF(ISBLANK(J7),"","Pringkat Kelas ke "&amp;IFERROR(VLOOKUP(J7,Nilai,19,FALSE),"")&amp;" dari "&amp;IDENTITAS!B124&amp;" santri")</f>
        <v>Pringkat Kelas ke 1 dari 5 santri</v>
      </c>
      <c r="B26" s="105"/>
      <c r="C26" s="105"/>
      <c r="D26" s="105"/>
      <c r="E26" s="105"/>
      <c r="F26" s="105"/>
      <c r="G26" s="105"/>
      <c r="H26" s="99"/>
      <c r="I26" s="24"/>
    </row>
    <row r="27" spans="1:15" ht="9" customHeight="1">
      <c r="A27" s="40"/>
      <c r="B27" s="40"/>
    </row>
    <row r="28" spans="1:15" ht="14.25" customHeight="1">
      <c r="A28" s="139" t="s">
        <v>217</v>
      </c>
      <c r="B28" s="140"/>
      <c r="C28" s="140"/>
      <c r="D28" s="140"/>
      <c r="E28" s="141"/>
      <c r="F28" s="134" t="s">
        <v>218</v>
      </c>
      <c r="G28" s="99"/>
      <c r="H28" s="17" t="str">
        <f>IF(ISBLANK(J7),"",IFERROR(VLOOKUP(J7,Kepribadian,4,FALSE),""))</f>
        <v>B</v>
      </c>
    </row>
    <row r="29" spans="1:15" ht="14.25" customHeight="1">
      <c r="A29" s="142"/>
      <c r="B29" s="117"/>
      <c r="C29" s="117"/>
      <c r="D29" s="117"/>
      <c r="E29" s="143"/>
      <c r="F29" s="134" t="s">
        <v>219</v>
      </c>
      <c r="G29" s="99"/>
      <c r="H29" s="17" t="str">
        <f>IF(ISBLANK(J7),"",IFERROR(VLOOKUP(J7,Kepribadian,5,FALSE),""))</f>
        <v>B</v>
      </c>
    </row>
    <row r="30" spans="1:15" ht="14.25" customHeight="1">
      <c r="A30" s="144"/>
      <c r="B30" s="136"/>
      <c r="C30" s="136"/>
      <c r="D30" s="136"/>
      <c r="E30" s="137"/>
      <c r="F30" s="134" t="s">
        <v>220</v>
      </c>
      <c r="G30" s="99"/>
      <c r="H30" s="17" t="str">
        <f>IF(ISBLANK(J7),"",IFERROR(VLOOKUP(J7,Kepribadian,6,FALSE),""))</f>
        <v>B</v>
      </c>
    </row>
    <row r="31" spans="1:15" ht="8.25" customHeight="1">
      <c r="A31" s="40"/>
      <c r="B31" s="40"/>
    </row>
    <row r="32" spans="1:15" ht="14.25" customHeight="1">
      <c r="A32" s="139" t="s">
        <v>221</v>
      </c>
      <c r="B32" s="140"/>
      <c r="C32" s="140"/>
      <c r="D32" s="140"/>
      <c r="E32" s="141"/>
      <c r="F32" s="134" t="s">
        <v>222</v>
      </c>
      <c r="G32" s="99"/>
      <c r="H32" s="17" t="str">
        <f>IF(ISBLANK(J7),"",IFERROR(VLOOKUP(J7,Kepribadian,7,FALSE),"")&amp;" hari")</f>
        <v>2 hari</v>
      </c>
    </row>
    <row r="33" spans="1:8" ht="14.25" customHeight="1">
      <c r="A33" s="142"/>
      <c r="B33" s="117"/>
      <c r="C33" s="117"/>
      <c r="D33" s="117"/>
      <c r="E33" s="143"/>
      <c r="F33" s="134" t="s">
        <v>223</v>
      </c>
      <c r="G33" s="99"/>
      <c r="H33" s="17" t="str">
        <f>IF(ISBLANK(J7),"",IFERROR(VLOOKUP(J7,Kepribadian,8,FALSE),"")&amp;" hari")</f>
        <v>1 hari</v>
      </c>
    </row>
    <row r="34" spans="1:8" ht="14.25" customHeight="1">
      <c r="A34" s="144"/>
      <c r="B34" s="136"/>
      <c r="C34" s="136"/>
      <c r="D34" s="136"/>
      <c r="E34" s="137"/>
      <c r="F34" s="134" t="s">
        <v>224</v>
      </c>
      <c r="G34" s="99"/>
      <c r="H34" s="17" t="str">
        <f>IF(ISBLANK(J7),"",IFERROR(VLOOKUP(J7,Kepribadian,9,FALSE),"")&amp;" hari")</f>
        <v>0 hari</v>
      </c>
    </row>
    <row r="35" spans="1:8" ht="14.25" customHeight="1">
      <c r="A35" s="53"/>
      <c r="B35" s="54" t="s">
        <v>225</v>
      </c>
      <c r="C35" s="54"/>
      <c r="D35" s="54"/>
      <c r="E35" s="54"/>
      <c r="F35" s="54"/>
      <c r="G35" s="54"/>
      <c r="H35" s="55"/>
    </row>
    <row r="36" spans="1:8" ht="25.5" customHeight="1">
      <c r="A36" s="56"/>
      <c r="B36" s="135" t="str">
        <f>IF(ISBLANK(J7),"",IFERROR(VLOOKUP(J7,Kepribadian,11,FALSE),""))</f>
        <v>Selamat atas prestasimu! Teruslah bersungguh-sungguh dalam belajar, karena menuntut ilmu adalah jalan menuju ridha Allah dan kunci kebahagiaan dunia akhirat.</v>
      </c>
      <c r="C36" s="136"/>
      <c r="D36" s="136"/>
      <c r="E36" s="136"/>
      <c r="F36" s="136"/>
      <c r="G36" s="136"/>
      <c r="H36" s="137"/>
    </row>
    <row r="37" spans="1:8" ht="14.25" customHeight="1">
      <c r="A37" s="40"/>
      <c r="B37" s="40"/>
    </row>
    <row r="38" spans="1:8" ht="14.25" customHeight="1">
      <c r="A38" s="145" t="s">
        <v>226</v>
      </c>
      <c r="B38" s="117"/>
      <c r="C38" s="117"/>
      <c r="D38" s="22" t="str">
        <f>IDENTITAS!C13</f>
        <v>Tegal</v>
      </c>
    </row>
    <row r="39" spans="1:8" ht="14.25" customHeight="1">
      <c r="A39" s="145" t="s">
        <v>227</v>
      </c>
      <c r="B39" s="117"/>
      <c r="C39" s="117"/>
      <c r="D39" s="9" t="str">
        <f>IDENTITAS!C14</f>
        <v>13 September 2025</v>
      </c>
    </row>
    <row r="40" spans="1:8" ht="14.25" customHeight="1">
      <c r="A40" s="41"/>
      <c r="B40" s="40"/>
    </row>
    <row r="41" spans="1:8" ht="14.25" customHeight="1">
      <c r="A41" s="41"/>
      <c r="B41" s="40"/>
      <c r="C41" s="146" t="s">
        <v>228</v>
      </c>
      <c r="D41" s="117"/>
      <c r="E41" s="117"/>
      <c r="F41" s="117"/>
    </row>
    <row r="42" spans="1:8" ht="14.25" customHeight="1">
      <c r="A42" s="41"/>
      <c r="B42" s="40"/>
      <c r="C42" s="146" t="s">
        <v>147</v>
      </c>
      <c r="D42" s="117"/>
      <c r="F42" s="7" t="s">
        <v>229</v>
      </c>
      <c r="G42" s="146" t="s">
        <v>230</v>
      </c>
      <c r="H42" s="117"/>
    </row>
    <row r="43" spans="1:8" ht="14.25" customHeight="1">
      <c r="A43" s="41"/>
      <c r="B43" s="40"/>
      <c r="F43" s="7"/>
      <c r="G43" s="7"/>
    </row>
    <row r="44" spans="1:8" ht="14.25" customHeight="1">
      <c r="A44" s="41"/>
      <c r="B44" s="40"/>
      <c r="F44" s="7"/>
      <c r="G44" s="7"/>
    </row>
    <row r="45" spans="1:8" ht="14.25" customHeight="1">
      <c r="A45" s="41"/>
      <c r="B45" s="40"/>
      <c r="F45" s="7"/>
      <c r="G45" s="7"/>
    </row>
    <row r="46" spans="1:8" ht="14.25" customHeight="1">
      <c r="A46" s="41"/>
      <c r="B46" s="40"/>
      <c r="C46" s="138" t="str">
        <f>IDENTITAS!C16</f>
        <v>NURKHOLIS, S.Pd.I</v>
      </c>
      <c r="D46" s="117"/>
      <c r="F46" s="7" t="s">
        <v>231</v>
      </c>
      <c r="G46" s="138" t="str">
        <f>IDENTITAS!C15</f>
        <v>TOIPAH</v>
      </c>
      <c r="H46" s="117"/>
    </row>
    <row r="47" spans="1:8" ht="14.25" customHeight="1">
      <c r="A47" s="41"/>
      <c r="B47" s="40"/>
    </row>
    <row r="48" spans="1:8" ht="14.25" customHeight="1">
      <c r="A48" s="41"/>
      <c r="B48" s="40"/>
    </row>
    <row r="49" spans="1:2" ht="14.25" customHeight="1">
      <c r="A49" s="41"/>
      <c r="B49" s="40"/>
    </row>
    <row r="50" spans="1:2" ht="14.25" customHeight="1">
      <c r="A50" s="41"/>
      <c r="B50" s="40"/>
    </row>
    <row r="51" spans="1:2" ht="14.25" customHeight="1">
      <c r="A51" s="41"/>
      <c r="B51" s="40"/>
    </row>
    <row r="52" spans="1:2" ht="14.25" customHeight="1">
      <c r="A52" s="40"/>
      <c r="B52" s="40"/>
    </row>
    <row r="53" spans="1:2" ht="14.25" customHeight="1">
      <c r="A53" s="40"/>
      <c r="B53" s="40"/>
    </row>
    <row r="54" spans="1:2" ht="14.25" customHeight="1">
      <c r="A54" s="40"/>
      <c r="B54" s="40"/>
    </row>
    <row r="55" spans="1:2" ht="14.25" customHeight="1">
      <c r="A55" s="40"/>
      <c r="B55" s="40"/>
    </row>
    <row r="56" spans="1:2" ht="14.25" customHeight="1">
      <c r="A56" s="40"/>
      <c r="B56" s="40"/>
    </row>
    <row r="57" spans="1:2" ht="14.25" customHeight="1">
      <c r="A57" s="40"/>
      <c r="B57" s="40"/>
    </row>
    <row r="58" spans="1:2" ht="14.25" customHeight="1">
      <c r="A58" s="40"/>
      <c r="B58" s="40"/>
    </row>
    <row r="59" spans="1:2" ht="14.25" customHeight="1">
      <c r="A59" s="40"/>
      <c r="B59" s="40"/>
    </row>
    <row r="60" spans="1:2" ht="14.25" customHeight="1">
      <c r="A60" s="40"/>
      <c r="B60" s="40"/>
    </row>
    <row r="61" spans="1:2" ht="14.25" customHeight="1">
      <c r="A61" s="40"/>
      <c r="B61" s="40"/>
    </row>
    <row r="62" spans="1:2" ht="14.25" customHeight="1">
      <c r="A62" s="40"/>
      <c r="B62" s="40"/>
    </row>
    <row r="63" spans="1:2" ht="14.25" customHeight="1">
      <c r="A63" s="40"/>
      <c r="B63" s="40"/>
    </row>
    <row r="64" spans="1:2" ht="14.25" customHeight="1">
      <c r="A64" s="40"/>
      <c r="B64" s="40"/>
    </row>
    <row r="65" spans="1:2" ht="14.25" customHeight="1">
      <c r="A65" s="40"/>
      <c r="B65" s="40"/>
    </row>
    <row r="66" spans="1:2" ht="14.25" customHeight="1">
      <c r="A66" s="40"/>
      <c r="B66" s="40"/>
    </row>
    <row r="67" spans="1:2" ht="14.25" customHeight="1">
      <c r="A67" s="40"/>
      <c r="B67" s="40"/>
    </row>
    <row r="68" spans="1:2" ht="14.25" customHeight="1">
      <c r="A68" s="40"/>
      <c r="B68" s="40"/>
    </row>
    <row r="69" spans="1:2" ht="14.25" customHeight="1">
      <c r="A69" s="40"/>
      <c r="B69" s="40"/>
    </row>
    <row r="70" spans="1:2" ht="14.25" customHeight="1">
      <c r="A70" s="40"/>
      <c r="B70" s="40"/>
    </row>
    <row r="71" spans="1:2" ht="14.25" customHeight="1">
      <c r="A71" s="40"/>
      <c r="B71" s="40"/>
    </row>
    <row r="72" spans="1:2" ht="14.25" customHeight="1">
      <c r="A72" s="40"/>
      <c r="B72" s="40"/>
    </row>
    <row r="73" spans="1:2" ht="14.25" customHeight="1">
      <c r="A73" s="40"/>
      <c r="B73" s="40"/>
    </row>
    <row r="74" spans="1:2" ht="14.25" customHeight="1">
      <c r="A74" s="40"/>
      <c r="B74" s="40"/>
    </row>
    <row r="75" spans="1:2" ht="14.25" customHeight="1">
      <c r="A75" s="40"/>
      <c r="B75" s="40"/>
    </row>
    <row r="76" spans="1:2" ht="14.25" customHeight="1">
      <c r="A76" s="40"/>
      <c r="B76" s="40"/>
    </row>
    <row r="77" spans="1:2" ht="14.25" customHeight="1">
      <c r="A77" s="40"/>
      <c r="B77" s="40"/>
    </row>
    <row r="78" spans="1:2" ht="14.25" customHeight="1">
      <c r="A78" s="40"/>
      <c r="B78" s="40"/>
    </row>
    <row r="79" spans="1:2" ht="14.25" customHeight="1">
      <c r="A79" s="40"/>
      <c r="B79" s="40"/>
    </row>
    <row r="80" spans="1:2" ht="14.25" customHeight="1">
      <c r="A80" s="40"/>
      <c r="B80" s="40"/>
    </row>
    <row r="81" spans="1:2" ht="14.25" customHeight="1">
      <c r="A81" s="40"/>
      <c r="B81" s="40"/>
    </row>
    <row r="82" spans="1:2" ht="14.25" customHeight="1">
      <c r="A82" s="40"/>
      <c r="B82" s="40"/>
    </row>
    <row r="83" spans="1:2" ht="14.25" customHeight="1">
      <c r="A83" s="40"/>
      <c r="B83" s="40"/>
    </row>
    <row r="84" spans="1:2" ht="14.25" customHeight="1">
      <c r="A84" s="40"/>
      <c r="B84" s="40"/>
    </row>
    <row r="85" spans="1:2" ht="14.25" customHeight="1">
      <c r="A85" s="40"/>
      <c r="B85" s="40"/>
    </row>
    <row r="86" spans="1:2" ht="14.25" customHeight="1">
      <c r="A86" s="40"/>
      <c r="B86" s="40"/>
    </row>
    <row r="87" spans="1:2" ht="14.25" customHeight="1">
      <c r="A87" s="40"/>
      <c r="B87" s="40"/>
    </row>
    <row r="88" spans="1:2" ht="14.25" customHeight="1">
      <c r="A88" s="40"/>
      <c r="B88" s="40"/>
    </row>
    <row r="89" spans="1:2" ht="14.25" customHeight="1">
      <c r="A89" s="40"/>
      <c r="B89" s="40"/>
    </row>
    <row r="90" spans="1:2" ht="14.25" customHeight="1">
      <c r="A90" s="40"/>
      <c r="B90" s="40"/>
    </row>
    <row r="91" spans="1:2" ht="14.25" customHeight="1">
      <c r="A91" s="40"/>
      <c r="B91" s="40"/>
    </row>
    <row r="92" spans="1:2" ht="14.25" customHeight="1">
      <c r="A92" s="40"/>
      <c r="B92" s="40"/>
    </row>
    <row r="93" spans="1:2" ht="14.25" customHeight="1">
      <c r="A93" s="40"/>
      <c r="B93" s="40"/>
    </row>
    <row r="94" spans="1:2" ht="14.25" customHeight="1">
      <c r="A94" s="40"/>
      <c r="B94" s="40"/>
    </row>
    <row r="95" spans="1:2" ht="14.25" customHeight="1">
      <c r="A95" s="40"/>
      <c r="B95" s="40"/>
    </row>
    <row r="96" spans="1:2" ht="14.25" customHeight="1">
      <c r="A96" s="40"/>
      <c r="B96" s="40"/>
    </row>
    <row r="97" spans="1:2" ht="14.25" customHeight="1">
      <c r="A97" s="40"/>
      <c r="B97" s="40"/>
    </row>
    <row r="98" spans="1:2" ht="14.25" customHeight="1">
      <c r="A98" s="40"/>
      <c r="B98" s="40"/>
    </row>
    <row r="99" spans="1:2" ht="14.25" customHeight="1">
      <c r="A99" s="40"/>
      <c r="B99" s="40"/>
    </row>
    <row r="100" spans="1:2" ht="14.25" customHeight="1">
      <c r="A100" s="40"/>
      <c r="B100" s="40"/>
    </row>
    <row r="101" spans="1:2" ht="14.25" customHeight="1">
      <c r="A101" s="40"/>
      <c r="B101" s="40"/>
    </row>
    <row r="102" spans="1:2" ht="14.25" customHeight="1">
      <c r="A102" s="40"/>
      <c r="B102" s="40"/>
    </row>
    <row r="103" spans="1:2" ht="14.25" customHeight="1">
      <c r="A103" s="40"/>
      <c r="B103" s="40"/>
    </row>
    <row r="104" spans="1:2" ht="14.25" customHeight="1">
      <c r="A104" s="40"/>
      <c r="B104" s="40"/>
    </row>
    <row r="105" spans="1:2" ht="14.25" customHeight="1">
      <c r="A105" s="40"/>
      <c r="B105" s="40"/>
    </row>
    <row r="106" spans="1:2" ht="14.25" customHeight="1">
      <c r="A106" s="40"/>
      <c r="B106" s="40"/>
    </row>
    <row r="107" spans="1:2" ht="14.25" customHeight="1">
      <c r="A107" s="40"/>
      <c r="B107" s="40"/>
    </row>
    <row r="108" spans="1:2" ht="14.25" customHeight="1">
      <c r="A108" s="40"/>
      <c r="B108" s="40"/>
    </row>
    <row r="109" spans="1:2" ht="14.25" customHeight="1">
      <c r="A109" s="40"/>
      <c r="B109" s="40"/>
    </row>
    <row r="110" spans="1:2" ht="14.25" customHeight="1">
      <c r="A110" s="40"/>
      <c r="B110" s="40"/>
    </row>
    <row r="111" spans="1:2" ht="14.25" customHeight="1">
      <c r="A111" s="40"/>
      <c r="B111" s="40"/>
    </row>
    <row r="112" spans="1:2" ht="14.25" customHeight="1">
      <c r="A112" s="40"/>
      <c r="B112" s="40"/>
    </row>
    <row r="113" spans="1:2" ht="14.25" customHeight="1">
      <c r="A113" s="40"/>
      <c r="B113" s="40"/>
    </row>
    <row r="114" spans="1:2" ht="14.25" customHeight="1">
      <c r="A114" s="40"/>
      <c r="B114" s="40"/>
    </row>
    <row r="115" spans="1:2" ht="14.25" customHeight="1">
      <c r="A115" s="40"/>
      <c r="B115" s="40"/>
    </row>
    <row r="116" spans="1:2" ht="14.25" customHeight="1">
      <c r="A116" s="40"/>
      <c r="B116" s="40"/>
    </row>
    <row r="117" spans="1:2" ht="14.25" customHeight="1">
      <c r="A117" s="40"/>
      <c r="B117" s="40"/>
    </row>
    <row r="118" spans="1:2" ht="14.25" customHeight="1">
      <c r="A118" s="40"/>
      <c r="B118" s="40"/>
    </row>
    <row r="119" spans="1:2" ht="14.25" customHeight="1">
      <c r="A119" s="40"/>
      <c r="B119" s="40"/>
    </row>
    <row r="120" spans="1:2" ht="14.25" customHeight="1">
      <c r="A120" s="40"/>
      <c r="B120" s="40"/>
    </row>
    <row r="121" spans="1:2" ht="14.25" customHeight="1">
      <c r="A121" s="40"/>
      <c r="B121" s="40"/>
    </row>
    <row r="122" spans="1:2" ht="14.25" customHeight="1">
      <c r="A122" s="40"/>
      <c r="B122" s="40"/>
    </row>
    <row r="123" spans="1:2" ht="14.25" customHeight="1">
      <c r="A123" s="40"/>
      <c r="B123" s="40"/>
    </row>
    <row r="124" spans="1:2" ht="14.25" customHeight="1">
      <c r="A124" s="40"/>
      <c r="B124" s="40"/>
    </row>
    <row r="125" spans="1:2" ht="14.25" customHeight="1">
      <c r="A125" s="40"/>
      <c r="B125" s="40"/>
    </row>
    <row r="126" spans="1:2" ht="14.25" customHeight="1">
      <c r="A126" s="40"/>
      <c r="B126" s="40"/>
    </row>
    <row r="127" spans="1:2" ht="14.25" customHeight="1">
      <c r="A127" s="40"/>
      <c r="B127" s="40"/>
    </row>
    <row r="128" spans="1:2" ht="14.25" customHeight="1">
      <c r="A128" s="40"/>
      <c r="B128" s="40"/>
    </row>
    <row r="129" spans="1:2" ht="14.25" customHeight="1">
      <c r="A129" s="40"/>
      <c r="B129" s="40"/>
    </row>
    <row r="130" spans="1:2" ht="14.25" customHeight="1">
      <c r="A130" s="40"/>
      <c r="B130" s="40"/>
    </row>
    <row r="131" spans="1:2" ht="14.25" customHeight="1">
      <c r="A131" s="40"/>
      <c r="B131" s="40"/>
    </row>
    <row r="132" spans="1:2" ht="14.25" customHeight="1">
      <c r="A132" s="40"/>
      <c r="B132" s="40"/>
    </row>
    <row r="133" spans="1:2" ht="14.25" customHeight="1">
      <c r="A133" s="40"/>
      <c r="B133" s="40"/>
    </row>
    <row r="134" spans="1:2" ht="14.25" customHeight="1">
      <c r="A134" s="40"/>
      <c r="B134" s="40"/>
    </row>
    <row r="135" spans="1:2" ht="14.25" customHeight="1">
      <c r="A135" s="40"/>
      <c r="B135" s="40"/>
    </row>
    <row r="136" spans="1:2" ht="14.25" customHeight="1">
      <c r="A136" s="40"/>
      <c r="B136" s="40"/>
    </row>
    <row r="137" spans="1:2" ht="14.25" customHeight="1">
      <c r="A137" s="40"/>
      <c r="B137" s="40"/>
    </row>
    <row r="138" spans="1:2" ht="14.25" customHeight="1">
      <c r="A138" s="40"/>
      <c r="B138" s="40"/>
    </row>
    <row r="139" spans="1:2" ht="14.25" customHeight="1">
      <c r="A139" s="40"/>
      <c r="B139" s="40"/>
    </row>
    <row r="140" spans="1:2" ht="14.25" customHeight="1">
      <c r="A140" s="40"/>
      <c r="B140" s="40"/>
    </row>
    <row r="141" spans="1:2" ht="14.25" customHeight="1">
      <c r="A141" s="40"/>
      <c r="B141" s="40"/>
    </row>
    <row r="142" spans="1:2" ht="14.25" customHeight="1">
      <c r="A142" s="40"/>
      <c r="B142" s="40"/>
    </row>
    <row r="143" spans="1:2" ht="14.25" customHeight="1">
      <c r="A143" s="40"/>
      <c r="B143" s="40"/>
    </row>
    <row r="144" spans="1:2" ht="14.25" customHeight="1">
      <c r="A144" s="40"/>
      <c r="B144" s="40"/>
    </row>
    <row r="145" spans="1:2" ht="14.25" customHeight="1">
      <c r="A145" s="40"/>
      <c r="B145" s="40"/>
    </row>
    <row r="146" spans="1:2" ht="14.25" customHeight="1">
      <c r="A146" s="40"/>
      <c r="B146" s="40"/>
    </row>
    <row r="147" spans="1:2" ht="14.25" customHeight="1">
      <c r="A147" s="40"/>
      <c r="B147" s="40"/>
    </row>
    <row r="148" spans="1:2" ht="14.25" customHeight="1">
      <c r="A148" s="40"/>
      <c r="B148" s="40"/>
    </row>
    <row r="149" spans="1:2" ht="14.25" customHeight="1">
      <c r="A149" s="40"/>
      <c r="B149" s="40"/>
    </row>
    <row r="150" spans="1:2" ht="14.25" customHeight="1">
      <c r="A150" s="40"/>
      <c r="B150" s="40"/>
    </row>
    <row r="151" spans="1:2" ht="14.25" customHeight="1">
      <c r="A151" s="40"/>
      <c r="B151" s="40"/>
    </row>
    <row r="152" spans="1:2" ht="14.25" customHeight="1">
      <c r="A152" s="40"/>
      <c r="B152" s="40"/>
    </row>
    <row r="153" spans="1:2" ht="14.25" customHeight="1">
      <c r="A153" s="40"/>
      <c r="B153" s="40"/>
    </row>
    <row r="154" spans="1:2" ht="14.25" customHeight="1">
      <c r="A154" s="40"/>
      <c r="B154" s="40"/>
    </row>
    <row r="155" spans="1:2" ht="14.25" customHeight="1">
      <c r="A155" s="40"/>
      <c r="B155" s="40"/>
    </row>
    <row r="156" spans="1:2" ht="14.25" customHeight="1">
      <c r="A156" s="40"/>
      <c r="B156" s="40"/>
    </row>
    <row r="157" spans="1:2" ht="14.25" customHeight="1">
      <c r="A157" s="40"/>
      <c r="B157" s="40"/>
    </row>
    <row r="158" spans="1:2" ht="14.25" customHeight="1">
      <c r="A158" s="40"/>
      <c r="B158" s="40"/>
    </row>
    <row r="159" spans="1:2" ht="14.25" customHeight="1">
      <c r="A159" s="40"/>
      <c r="B159" s="40"/>
    </row>
    <row r="160" spans="1:2" ht="14.25" customHeight="1">
      <c r="A160" s="40"/>
      <c r="B160" s="40"/>
    </row>
    <row r="161" spans="1:2" ht="14.25" customHeight="1">
      <c r="A161" s="40"/>
      <c r="B161" s="40"/>
    </row>
    <row r="162" spans="1:2" ht="14.25" customHeight="1">
      <c r="A162" s="40"/>
      <c r="B162" s="40"/>
    </row>
    <row r="163" spans="1:2" ht="14.25" customHeight="1">
      <c r="A163" s="40"/>
      <c r="B163" s="40"/>
    </row>
    <row r="164" spans="1:2" ht="14.25" customHeight="1">
      <c r="A164" s="40"/>
      <c r="B164" s="40"/>
    </row>
    <row r="165" spans="1:2" ht="14.25" customHeight="1">
      <c r="A165" s="40"/>
      <c r="B165" s="40"/>
    </row>
    <row r="166" spans="1:2" ht="14.25" customHeight="1">
      <c r="A166" s="40"/>
      <c r="B166" s="40"/>
    </row>
    <row r="167" spans="1:2" ht="14.25" customHeight="1">
      <c r="A167" s="40"/>
      <c r="B167" s="40"/>
    </row>
    <row r="168" spans="1:2" ht="14.25" customHeight="1">
      <c r="A168" s="40"/>
      <c r="B168" s="40"/>
    </row>
    <row r="169" spans="1:2" ht="14.25" customHeight="1">
      <c r="A169" s="40"/>
      <c r="B169" s="40"/>
    </row>
    <row r="170" spans="1:2" ht="14.25" customHeight="1">
      <c r="A170" s="40"/>
      <c r="B170" s="40"/>
    </row>
    <row r="171" spans="1:2" ht="14.25" customHeight="1">
      <c r="A171" s="40"/>
      <c r="B171" s="40"/>
    </row>
    <row r="172" spans="1:2" ht="14.25" customHeight="1">
      <c r="A172" s="40"/>
      <c r="B172" s="40"/>
    </row>
    <row r="173" spans="1:2" ht="14.25" customHeight="1">
      <c r="A173" s="40"/>
      <c r="B173" s="40"/>
    </row>
    <row r="174" spans="1:2" ht="14.25" customHeight="1">
      <c r="A174" s="40"/>
      <c r="B174" s="40"/>
    </row>
    <row r="175" spans="1:2" ht="14.25" customHeight="1">
      <c r="A175" s="40"/>
      <c r="B175" s="40"/>
    </row>
    <row r="176" spans="1:2" ht="14.25" customHeight="1">
      <c r="A176" s="40"/>
      <c r="B176" s="40"/>
    </row>
    <row r="177" spans="1:2" ht="14.25" customHeight="1">
      <c r="A177" s="40"/>
      <c r="B177" s="40"/>
    </row>
    <row r="178" spans="1:2" ht="14.25" customHeight="1">
      <c r="A178" s="40"/>
      <c r="B178" s="40"/>
    </row>
    <row r="179" spans="1:2" ht="14.25" customHeight="1">
      <c r="A179" s="40"/>
      <c r="B179" s="40"/>
    </row>
    <row r="180" spans="1:2" ht="14.25" customHeight="1">
      <c r="A180" s="40"/>
      <c r="B180" s="40"/>
    </row>
    <row r="181" spans="1:2" ht="14.25" customHeight="1">
      <c r="A181" s="40"/>
      <c r="B181" s="40"/>
    </row>
    <row r="182" spans="1:2" ht="14.25" customHeight="1">
      <c r="A182" s="40"/>
      <c r="B182" s="40"/>
    </row>
    <row r="183" spans="1:2" ht="14.25" customHeight="1">
      <c r="A183" s="40"/>
      <c r="B183" s="40"/>
    </row>
    <row r="184" spans="1:2" ht="14.25" customHeight="1">
      <c r="A184" s="40"/>
      <c r="B184" s="40"/>
    </row>
    <row r="185" spans="1:2" ht="14.25" customHeight="1">
      <c r="A185" s="40"/>
      <c r="B185" s="40"/>
    </row>
    <row r="186" spans="1:2" ht="14.25" customHeight="1">
      <c r="A186" s="40"/>
      <c r="B186" s="40"/>
    </row>
    <row r="187" spans="1:2" ht="14.25" customHeight="1">
      <c r="A187" s="40"/>
      <c r="B187" s="40"/>
    </row>
    <row r="188" spans="1:2" ht="14.25" customHeight="1">
      <c r="A188" s="40"/>
      <c r="B188" s="40"/>
    </row>
    <row r="189" spans="1:2" ht="14.25" customHeight="1">
      <c r="A189" s="40"/>
      <c r="B189" s="40"/>
    </row>
    <row r="190" spans="1:2" ht="14.25" customHeight="1">
      <c r="A190" s="40"/>
      <c r="B190" s="40"/>
    </row>
    <row r="191" spans="1:2" ht="14.25" customHeight="1">
      <c r="A191" s="40"/>
      <c r="B191" s="40"/>
    </row>
    <row r="192" spans="1:2" ht="14.25" customHeight="1">
      <c r="A192" s="40"/>
      <c r="B192" s="40"/>
    </row>
    <row r="193" spans="1:2" ht="14.25" customHeight="1">
      <c r="A193" s="40"/>
      <c r="B193" s="40"/>
    </row>
    <row r="194" spans="1:2" ht="14.25" customHeight="1">
      <c r="A194" s="40"/>
      <c r="B194" s="40"/>
    </row>
    <row r="195" spans="1:2" ht="14.25" customHeight="1">
      <c r="A195" s="40"/>
      <c r="B195" s="40"/>
    </row>
    <row r="196" spans="1:2" ht="14.25" customHeight="1">
      <c r="A196" s="40"/>
      <c r="B196" s="40"/>
    </row>
    <row r="197" spans="1:2" ht="14.25" customHeight="1">
      <c r="A197" s="40"/>
      <c r="B197" s="40"/>
    </row>
    <row r="198" spans="1:2" ht="14.25" customHeight="1">
      <c r="A198" s="40"/>
      <c r="B198" s="40"/>
    </row>
    <row r="199" spans="1:2" ht="14.25" customHeight="1">
      <c r="A199" s="40"/>
      <c r="B199" s="40"/>
    </row>
    <row r="200" spans="1:2" ht="14.25" customHeight="1">
      <c r="A200" s="40"/>
      <c r="B200" s="40"/>
    </row>
    <row r="201" spans="1:2" ht="14.25" customHeight="1">
      <c r="A201" s="40"/>
      <c r="B201" s="40"/>
    </row>
    <row r="202" spans="1:2" ht="14.25" customHeight="1">
      <c r="A202" s="40"/>
      <c r="B202" s="40"/>
    </row>
    <row r="203" spans="1:2" ht="14.25" customHeight="1">
      <c r="A203" s="40"/>
      <c r="B203" s="40"/>
    </row>
    <row r="204" spans="1:2" ht="14.25" customHeight="1">
      <c r="A204" s="40"/>
      <c r="B204" s="40"/>
    </row>
    <row r="205" spans="1:2" ht="14.25" customHeight="1">
      <c r="A205" s="40"/>
      <c r="B205" s="40"/>
    </row>
    <row r="206" spans="1:2" ht="14.25" customHeight="1">
      <c r="A206" s="40"/>
      <c r="B206" s="40"/>
    </row>
    <row r="207" spans="1:2" ht="14.25" customHeight="1">
      <c r="A207" s="40"/>
      <c r="B207" s="40"/>
    </row>
    <row r="208" spans="1:2" ht="14.25" customHeight="1">
      <c r="A208" s="40"/>
      <c r="B208" s="40"/>
    </row>
    <row r="209" spans="1:2" ht="14.25" customHeight="1">
      <c r="A209" s="40"/>
      <c r="B209" s="40"/>
    </row>
    <row r="210" spans="1:2" ht="14.25" customHeight="1">
      <c r="A210" s="40"/>
      <c r="B210" s="40"/>
    </row>
    <row r="211" spans="1:2" ht="14.25" customHeight="1">
      <c r="A211" s="40"/>
      <c r="B211" s="40"/>
    </row>
    <row r="212" spans="1:2" ht="14.25" customHeight="1">
      <c r="A212" s="40"/>
      <c r="B212" s="40"/>
    </row>
    <row r="213" spans="1:2" ht="14.25" customHeight="1">
      <c r="A213" s="40"/>
      <c r="B213" s="40"/>
    </row>
    <row r="214" spans="1:2" ht="14.25" customHeight="1">
      <c r="A214" s="40"/>
      <c r="B214" s="40"/>
    </row>
    <row r="215" spans="1:2" ht="14.25" customHeight="1">
      <c r="A215" s="40"/>
      <c r="B215" s="40"/>
    </row>
    <row r="216" spans="1:2" ht="14.25" customHeight="1">
      <c r="A216" s="40"/>
      <c r="B216" s="40"/>
    </row>
    <row r="217" spans="1:2" ht="14.25" customHeight="1">
      <c r="A217" s="40"/>
      <c r="B217" s="40"/>
    </row>
    <row r="218" spans="1:2" ht="14.25" customHeight="1">
      <c r="A218" s="40"/>
      <c r="B218" s="40"/>
    </row>
    <row r="219" spans="1:2" ht="14.25" customHeight="1">
      <c r="A219" s="40"/>
      <c r="B219" s="40"/>
    </row>
    <row r="220" spans="1:2" ht="14.25" customHeight="1">
      <c r="A220" s="40"/>
      <c r="B220" s="40"/>
    </row>
    <row r="221" spans="1:2" ht="14.25" customHeight="1">
      <c r="A221" s="40"/>
      <c r="B221" s="40"/>
    </row>
    <row r="222" spans="1:2" ht="14.25" customHeight="1">
      <c r="A222" s="40"/>
      <c r="B222" s="40"/>
    </row>
    <row r="223" spans="1:2" ht="14.25" customHeight="1">
      <c r="A223" s="40"/>
      <c r="B223" s="40"/>
    </row>
    <row r="224" spans="1:2" ht="14.25" customHeight="1">
      <c r="A224" s="40"/>
      <c r="B224" s="40"/>
    </row>
    <row r="225" spans="1:2" ht="14.25" customHeight="1">
      <c r="A225" s="40"/>
      <c r="B225" s="40"/>
    </row>
    <row r="226" spans="1:2" ht="14.25" customHeight="1">
      <c r="A226" s="40"/>
      <c r="B226" s="40"/>
    </row>
    <row r="227" spans="1:2" ht="14.25" customHeight="1">
      <c r="A227" s="40"/>
      <c r="B227" s="40"/>
    </row>
    <row r="228" spans="1:2" ht="14.25" customHeight="1">
      <c r="A228" s="40"/>
      <c r="B228" s="40"/>
    </row>
    <row r="229" spans="1:2" ht="14.25" customHeight="1">
      <c r="A229" s="40"/>
      <c r="B229" s="40"/>
    </row>
    <row r="230" spans="1:2" ht="14.25" customHeight="1">
      <c r="A230" s="40"/>
      <c r="B230" s="40"/>
    </row>
    <row r="231" spans="1:2" ht="14.25" customHeight="1">
      <c r="A231" s="40"/>
      <c r="B231" s="40"/>
    </row>
    <row r="232" spans="1:2" ht="14.25" customHeight="1">
      <c r="A232" s="40"/>
      <c r="B232" s="40"/>
    </row>
    <row r="233" spans="1:2" ht="14.25" customHeight="1">
      <c r="A233" s="40"/>
      <c r="B233" s="40"/>
    </row>
    <row r="234" spans="1:2" ht="14.25" customHeight="1">
      <c r="A234" s="40"/>
      <c r="B234" s="40"/>
    </row>
    <row r="235" spans="1:2" ht="14.25" customHeight="1">
      <c r="A235" s="40"/>
      <c r="B235" s="40"/>
    </row>
    <row r="236" spans="1:2" ht="14.25" customHeight="1">
      <c r="A236" s="40"/>
      <c r="B236" s="40"/>
    </row>
    <row r="237" spans="1:2" ht="14.25" customHeight="1">
      <c r="A237" s="40"/>
      <c r="B237" s="40"/>
    </row>
    <row r="238" spans="1:2" ht="14.25" customHeight="1">
      <c r="A238" s="40"/>
      <c r="B238" s="40"/>
    </row>
    <row r="239" spans="1:2" ht="14.25" customHeight="1">
      <c r="A239" s="40"/>
      <c r="B239" s="40"/>
    </row>
    <row r="240" spans="1:2" ht="14.25" customHeight="1">
      <c r="A240" s="40"/>
      <c r="B240" s="40"/>
    </row>
    <row r="241" spans="1:2" ht="14.25" customHeight="1">
      <c r="A241" s="40"/>
      <c r="B241" s="40"/>
    </row>
    <row r="242" spans="1:2" ht="14.25" customHeight="1">
      <c r="A242" s="40"/>
      <c r="B242" s="40"/>
    </row>
    <row r="243" spans="1:2" ht="14.25" customHeight="1">
      <c r="A243" s="40"/>
      <c r="B243" s="40"/>
    </row>
    <row r="244" spans="1:2" ht="14.25" customHeight="1">
      <c r="A244" s="40"/>
      <c r="B244" s="40"/>
    </row>
    <row r="245" spans="1:2" ht="14.25" customHeight="1">
      <c r="A245" s="40"/>
      <c r="B245" s="40"/>
    </row>
    <row r="246" spans="1:2" ht="14.25" customHeight="1">
      <c r="A246" s="40"/>
      <c r="B246" s="40"/>
    </row>
    <row r="247" spans="1:2" ht="14.25" customHeight="1">
      <c r="A247" s="40"/>
      <c r="B247" s="40"/>
    </row>
    <row r="248" spans="1:2" ht="14.25" customHeight="1">
      <c r="A248" s="40"/>
      <c r="B248" s="40"/>
    </row>
    <row r="249" spans="1:2" ht="14.25" customHeight="1">
      <c r="A249" s="40"/>
      <c r="B249" s="40"/>
    </row>
    <row r="250" spans="1:2" ht="14.25" customHeight="1">
      <c r="A250" s="40"/>
      <c r="B250" s="40"/>
    </row>
    <row r="251" spans="1:2" ht="14.25" customHeight="1">
      <c r="A251" s="40"/>
      <c r="B251" s="40"/>
    </row>
    <row r="252" spans="1:2" ht="14.25" customHeight="1">
      <c r="A252" s="40"/>
      <c r="B252" s="40"/>
    </row>
    <row r="253" spans="1:2" ht="14.25" customHeight="1">
      <c r="A253" s="40"/>
      <c r="B253" s="40"/>
    </row>
    <row r="254" spans="1:2" ht="14.25" customHeight="1">
      <c r="A254" s="40"/>
      <c r="B254" s="40"/>
    </row>
    <row r="255" spans="1:2" ht="14.25" customHeight="1">
      <c r="A255" s="40"/>
      <c r="B255" s="40"/>
    </row>
    <row r="256" spans="1:2" ht="14.25" customHeight="1">
      <c r="A256" s="40"/>
      <c r="B256" s="40"/>
    </row>
    <row r="257" spans="1:2" ht="14.25" customHeight="1">
      <c r="A257" s="40"/>
      <c r="B257" s="40"/>
    </row>
    <row r="258" spans="1:2" ht="14.25" customHeight="1">
      <c r="A258" s="40"/>
      <c r="B258" s="40"/>
    </row>
    <row r="259" spans="1:2" ht="14.25" customHeight="1">
      <c r="A259" s="40"/>
      <c r="B259" s="40"/>
    </row>
    <row r="260" spans="1:2" ht="14.25" customHeight="1">
      <c r="A260" s="40"/>
      <c r="B260" s="40"/>
    </row>
    <row r="261" spans="1:2" ht="14.25" customHeight="1">
      <c r="A261" s="40"/>
      <c r="B261" s="40"/>
    </row>
    <row r="262" spans="1:2" ht="14.25" customHeight="1">
      <c r="A262" s="40"/>
      <c r="B262" s="40"/>
    </row>
    <row r="263" spans="1:2" ht="14.25" customHeight="1">
      <c r="A263" s="40"/>
      <c r="B263" s="40"/>
    </row>
    <row r="264" spans="1:2" ht="14.25" customHeight="1">
      <c r="A264" s="40"/>
      <c r="B264" s="40"/>
    </row>
    <row r="265" spans="1:2" ht="14.25" customHeight="1">
      <c r="A265" s="40"/>
      <c r="B265" s="40"/>
    </row>
    <row r="266" spans="1:2" ht="14.25" customHeight="1">
      <c r="A266" s="40"/>
      <c r="B266" s="40"/>
    </row>
    <row r="267" spans="1:2" ht="14.25" customHeight="1">
      <c r="A267" s="40"/>
      <c r="B267" s="40"/>
    </row>
    <row r="268" spans="1:2" ht="14.25" customHeight="1">
      <c r="A268" s="40"/>
      <c r="B268" s="40"/>
    </row>
    <row r="269" spans="1:2" ht="14.25" customHeight="1">
      <c r="A269" s="40"/>
      <c r="B269" s="40"/>
    </row>
    <row r="270" spans="1:2" ht="14.25" customHeight="1">
      <c r="A270" s="40"/>
      <c r="B270" s="40"/>
    </row>
    <row r="271" spans="1:2" ht="14.25" customHeight="1">
      <c r="A271" s="40"/>
      <c r="B271" s="40"/>
    </row>
    <row r="272" spans="1:2" ht="14.25" customHeight="1">
      <c r="A272" s="40"/>
      <c r="B272" s="40"/>
    </row>
    <row r="273" spans="1:2" ht="14.25" customHeight="1">
      <c r="A273" s="40"/>
      <c r="B273" s="40"/>
    </row>
    <row r="274" spans="1:2" ht="14.25" customHeight="1">
      <c r="A274" s="40"/>
      <c r="B274" s="40"/>
    </row>
    <row r="275" spans="1:2" ht="14.25" customHeight="1">
      <c r="A275" s="40"/>
      <c r="B275" s="40"/>
    </row>
    <row r="276" spans="1:2" ht="14.25" customHeight="1">
      <c r="A276" s="40"/>
      <c r="B276" s="40"/>
    </row>
    <row r="277" spans="1:2" ht="14.25" customHeight="1">
      <c r="A277" s="40"/>
      <c r="B277" s="40"/>
    </row>
    <row r="278" spans="1:2" ht="14.25" customHeight="1">
      <c r="A278" s="40"/>
      <c r="B278" s="40"/>
    </row>
    <row r="279" spans="1:2" ht="14.25" customHeight="1">
      <c r="A279" s="40"/>
      <c r="B279" s="40"/>
    </row>
    <row r="280" spans="1:2" ht="14.25" customHeight="1">
      <c r="A280" s="40"/>
      <c r="B280" s="40"/>
    </row>
    <row r="281" spans="1:2" ht="14.25" customHeight="1">
      <c r="A281" s="40"/>
      <c r="B281" s="40"/>
    </row>
    <row r="282" spans="1:2" ht="14.25" customHeight="1">
      <c r="A282" s="40"/>
      <c r="B282" s="40"/>
    </row>
    <row r="283" spans="1:2" ht="14.25" customHeight="1">
      <c r="A283" s="40"/>
      <c r="B283" s="40"/>
    </row>
    <row r="284" spans="1:2" ht="14.25" customHeight="1">
      <c r="A284" s="40"/>
      <c r="B284" s="40"/>
    </row>
    <row r="285" spans="1:2" ht="14.25" customHeight="1">
      <c r="A285" s="40"/>
      <c r="B285" s="40"/>
    </row>
    <row r="286" spans="1:2" ht="14.25" customHeight="1">
      <c r="A286" s="40"/>
      <c r="B286" s="40"/>
    </row>
    <row r="287" spans="1:2" ht="14.25" customHeight="1">
      <c r="A287" s="40"/>
      <c r="B287" s="40"/>
    </row>
    <row r="288" spans="1:2" ht="14.25" customHeight="1">
      <c r="A288" s="40"/>
      <c r="B288" s="40"/>
    </row>
    <row r="289" spans="1:2" ht="14.25" customHeight="1">
      <c r="A289" s="40"/>
      <c r="B289" s="40"/>
    </row>
    <row r="290" spans="1:2" ht="14.25" customHeight="1">
      <c r="A290" s="40"/>
      <c r="B290" s="40"/>
    </row>
    <row r="291" spans="1:2" ht="14.25" customHeight="1">
      <c r="A291" s="40"/>
      <c r="B291" s="40"/>
    </row>
    <row r="292" spans="1:2" ht="14.25" customHeight="1">
      <c r="A292" s="40"/>
      <c r="B292" s="40"/>
    </row>
    <row r="293" spans="1:2" ht="14.25" customHeight="1">
      <c r="A293" s="40"/>
      <c r="B293" s="40"/>
    </row>
    <row r="294" spans="1:2" ht="14.25" customHeight="1">
      <c r="A294" s="40"/>
      <c r="B294" s="40"/>
    </row>
    <row r="295" spans="1:2" ht="14.25" customHeight="1">
      <c r="A295" s="40"/>
      <c r="B295" s="40"/>
    </row>
    <row r="296" spans="1:2" ht="14.25" customHeight="1">
      <c r="A296" s="40"/>
      <c r="B296" s="40"/>
    </row>
    <row r="297" spans="1:2" ht="14.25" customHeight="1">
      <c r="A297" s="40"/>
      <c r="B297" s="40"/>
    </row>
    <row r="298" spans="1:2" ht="14.25" customHeight="1">
      <c r="A298" s="40"/>
      <c r="B298" s="40"/>
    </row>
    <row r="299" spans="1:2" ht="14.25" customHeight="1">
      <c r="A299" s="40"/>
      <c r="B299" s="40"/>
    </row>
    <row r="300" spans="1:2" ht="14.25" customHeight="1">
      <c r="A300" s="40"/>
      <c r="B300" s="40"/>
    </row>
    <row r="301" spans="1:2" ht="14.25" customHeight="1">
      <c r="A301" s="40"/>
      <c r="B301" s="40"/>
    </row>
    <row r="302" spans="1:2" ht="14.25" customHeight="1">
      <c r="A302" s="40"/>
      <c r="B302" s="40"/>
    </row>
    <row r="303" spans="1:2" ht="14.25" customHeight="1">
      <c r="A303" s="40"/>
      <c r="B303" s="40"/>
    </row>
    <row r="304" spans="1:2" ht="14.25" customHeight="1">
      <c r="A304" s="40"/>
      <c r="B304" s="40"/>
    </row>
    <row r="305" spans="1:2" ht="14.25" customHeight="1">
      <c r="A305" s="40"/>
      <c r="B305" s="40"/>
    </row>
    <row r="306" spans="1:2" ht="14.25" customHeight="1">
      <c r="A306" s="40"/>
      <c r="B306" s="40"/>
    </row>
    <row r="307" spans="1:2" ht="14.25" customHeight="1">
      <c r="A307" s="40"/>
      <c r="B307" s="40"/>
    </row>
    <row r="308" spans="1:2" ht="14.25" customHeight="1">
      <c r="A308" s="40"/>
      <c r="B308" s="40"/>
    </row>
    <row r="309" spans="1:2" ht="14.25" customHeight="1">
      <c r="A309" s="40"/>
      <c r="B309" s="40"/>
    </row>
    <row r="310" spans="1:2" ht="14.25" customHeight="1">
      <c r="A310" s="40"/>
      <c r="B310" s="40"/>
    </row>
    <row r="311" spans="1:2" ht="14.25" customHeight="1">
      <c r="A311" s="40"/>
      <c r="B311" s="40"/>
    </row>
    <row r="312" spans="1:2" ht="14.25" customHeight="1">
      <c r="A312" s="40"/>
      <c r="B312" s="40"/>
    </row>
    <row r="313" spans="1:2" ht="14.25" customHeight="1">
      <c r="A313" s="40"/>
      <c r="B313" s="40"/>
    </row>
    <row r="314" spans="1:2" ht="14.25" customHeight="1">
      <c r="A314" s="40"/>
      <c r="B314" s="40"/>
    </row>
    <row r="315" spans="1:2" ht="14.25" customHeight="1">
      <c r="A315" s="40"/>
      <c r="B315" s="40"/>
    </row>
    <row r="316" spans="1:2" ht="14.25" customHeight="1">
      <c r="A316" s="40"/>
      <c r="B316" s="40"/>
    </row>
    <row r="317" spans="1:2" ht="14.25" customHeight="1">
      <c r="A317" s="40"/>
      <c r="B317" s="40"/>
    </row>
    <row r="318" spans="1:2" ht="14.25" customHeight="1">
      <c r="A318" s="40"/>
      <c r="B318" s="40"/>
    </row>
    <row r="319" spans="1:2" ht="14.25" customHeight="1">
      <c r="A319" s="40"/>
      <c r="B319" s="40"/>
    </row>
    <row r="320" spans="1:2" ht="14.25" customHeight="1">
      <c r="A320" s="40"/>
      <c r="B320" s="40"/>
    </row>
    <row r="321" spans="1:2" ht="14.25" customHeight="1">
      <c r="A321" s="40"/>
      <c r="B321" s="40"/>
    </row>
    <row r="322" spans="1:2" ht="14.25" customHeight="1">
      <c r="A322" s="40"/>
      <c r="B322" s="40"/>
    </row>
    <row r="323" spans="1:2" ht="14.25" customHeight="1">
      <c r="A323" s="40"/>
      <c r="B323" s="40"/>
    </row>
    <row r="324" spans="1:2" ht="14.25" customHeight="1">
      <c r="A324" s="40"/>
      <c r="B324" s="40"/>
    </row>
    <row r="325" spans="1:2" ht="14.25" customHeight="1">
      <c r="A325" s="40"/>
      <c r="B325" s="40"/>
    </row>
    <row r="326" spans="1:2" ht="14.25" customHeight="1">
      <c r="A326" s="40"/>
      <c r="B326" s="40"/>
    </row>
    <row r="327" spans="1:2" ht="14.25" customHeight="1">
      <c r="A327" s="40"/>
      <c r="B327" s="40"/>
    </row>
    <row r="328" spans="1:2" ht="14.25" customHeight="1">
      <c r="A328" s="40"/>
      <c r="B328" s="40"/>
    </row>
    <row r="329" spans="1:2" ht="14.25" customHeight="1">
      <c r="A329" s="40"/>
      <c r="B329" s="40"/>
    </row>
    <row r="330" spans="1:2" ht="14.25" customHeight="1">
      <c r="A330" s="40"/>
      <c r="B330" s="40"/>
    </row>
    <row r="331" spans="1:2" ht="14.25" customHeight="1">
      <c r="A331" s="40"/>
      <c r="B331" s="40"/>
    </row>
    <row r="332" spans="1:2" ht="14.25" customHeight="1">
      <c r="A332" s="40"/>
      <c r="B332" s="40"/>
    </row>
    <row r="333" spans="1:2" ht="14.25" customHeight="1">
      <c r="A333" s="40"/>
      <c r="B333" s="40"/>
    </row>
    <row r="334" spans="1:2" ht="14.25" customHeight="1">
      <c r="A334" s="40"/>
      <c r="B334" s="40"/>
    </row>
    <row r="335" spans="1:2" ht="14.25" customHeight="1">
      <c r="A335" s="40"/>
      <c r="B335" s="40"/>
    </row>
    <row r="336" spans="1:2" ht="14.25" customHeight="1">
      <c r="A336" s="40"/>
      <c r="B336" s="40"/>
    </row>
    <row r="337" spans="1:2" ht="14.25" customHeight="1">
      <c r="A337" s="40"/>
      <c r="B337" s="40"/>
    </row>
    <row r="338" spans="1:2" ht="14.25" customHeight="1">
      <c r="A338" s="40"/>
      <c r="B338" s="40"/>
    </row>
    <row r="339" spans="1:2" ht="14.25" customHeight="1">
      <c r="A339" s="40"/>
      <c r="B339" s="40"/>
    </row>
    <row r="340" spans="1:2" ht="14.25" customHeight="1">
      <c r="A340" s="40"/>
      <c r="B340" s="40"/>
    </row>
    <row r="341" spans="1:2" ht="14.25" customHeight="1">
      <c r="A341" s="40"/>
      <c r="B341" s="40"/>
    </row>
    <row r="342" spans="1:2" ht="14.25" customHeight="1">
      <c r="A342" s="40"/>
      <c r="B342" s="40"/>
    </row>
    <row r="343" spans="1:2" ht="14.25" customHeight="1">
      <c r="A343" s="40"/>
      <c r="B343" s="40"/>
    </row>
    <row r="344" spans="1:2" ht="14.25" customHeight="1">
      <c r="A344" s="40"/>
      <c r="B344" s="40"/>
    </row>
    <row r="345" spans="1:2" ht="14.25" customHeight="1">
      <c r="A345" s="40"/>
      <c r="B345" s="40"/>
    </row>
    <row r="346" spans="1:2" ht="14.25" customHeight="1">
      <c r="A346" s="40"/>
      <c r="B346" s="40"/>
    </row>
    <row r="347" spans="1:2" ht="14.25" customHeight="1">
      <c r="A347" s="40"/>
      <c r="B347" s="40"/>
    </row>
    <row r="348" spans="1:2" ht="14.25" customHeight="1">
      <c r="A348" s="40"/>
      <c r="B348" s="40"/>
    </row>
    <row r="349" spans="1:2" ht="14.25" customHeight="1">
      <c r="A349" s="40"/>
      <c r="B349" s="40"/>
    </row>
    <row r="350" spans="1:2" ht="14.25" customHeight="1">
      <c r="A350" s="40"/>
      <c r="B350" s="40"/>
    </row>
    <row r="351" spans="1:2" ht="14.25" customHeight="1">
      <c r="A351" s="40"/>
      <c r="B351" s="40"/>
    </row>
    <row r="352" spans="1:2" ht="14.25" customHeight="1">
      <c r="A352" s="40"/>
      <c r="B352" s="40"/>
    </row>
    <row r="353" spans="1:2" ht="14.25" customHeight="1">
      <c r="A353" s="40"/>
      <c r="B353" s="40"/>
    </row>
    <row r="354" spans="1:2" ht="14.25" customHeight="1">
      <c r="A354" s="40"/>
      <c r="B354" s="40"/>
    </row>
    <row r="355" spans="1:2" ht="14.25" customHeight="1">
      <c r="A355" s="40"/>
      <c r="B355" s="40"/>
    </row>
    <row r="356" spans="1:2" ht="14.25" customHeight="1">
      <c r="A356" s="40"/>
      <c r="B356" s="40"/>
    </row>
    <row r="357" spans="1:2" ht="14.25" customHeight="1">
      <c r="A357" s="40"/>
      <c r="B357" s="40"/>
    </row>
    <row r="358" spans="1:2" ht="14.25" customHeight="1">
      <c r="A358" s="40"/>
      <c r="B358" s="40"/>
    </row>
    <row r="359" spans="1:2" ht="14.25" customHeight="1">
      <c r="A359" s="40"/>
      <c r="B359" s="40"/>
    </row>
    <row r="360" spans="1:2" ht="14.25" customHeight="1">
      <c r="A360" s="40"/>
      <c r="B360" s="40"/>
    </row>
    <row r="361" spans="1:2" ht="14.25" customHeight="1">
      <c r="A361" s="40"/>
      <c r="B361" s="40"/>
    </row>
    <row r="362" spans="1:2" ht="14.25" customHeight="1">
      <c r="A362" s="40"/>
      <c r="B362" s="40"/>
    </row>
    <row r="363" spans="1:2" ht="14.25" customHeight="1">
      <c r="A363" s="40"/>
      <c r="B363" s="40"/>
    </row>
    <row r="364" spans="1:2" ht="14.25" customHeight="1">
      <c r="A364" s="40"/>
      <c r="B364" s="40"/>
    </row>
    <row r="365" spans="1:2" ht="14.25" customHeight="1">
      <c r="A365" s="40"/>
      <c r="B365" s="40"/>
    </row>
    <row r="366" spans="1:2" ht="14.25" customHeight="1">
      <c r="A366" s="40"/>
      <c r="B366" s="40"/>
    </row>
    <row r="367" spans="1:2" ht="14.25" customHeight="1">
      <c r="A367" s="40"/>
      <c r="B367" s="40"/>
    </row>
    <row r="368" spans="1:2" ht="14.25" customHeight="1">
      <c r="A368" s="40"/>
      <c r="B368" s="40"/>
    </row>
    <row r="369" spans="1:2" ht="14.25" customHeight="1">
      <c r="A369" s="40"/>
      <c r="B369" s="40"/>
    </row>
    <row r="370" spans="1:2" ht="14.25" customHeight="1">
      <c r="A370" s="40"/>
      <c r="B370" s="40"/>
    </row>
    <row r="371" spans="1:2" ht="14.25" customHeight="1">
      <c r="A371" s="40"/>
      <c r="B371" s="40"/>
    </row>
    <row r="372" spans="1:2" ht="14.25" customHeight="1">
      <c r="A372" s="40"/>
      <c r="B372" s="40"/>
    </row>
    <row r="373" spans="1:2" ht="14.25" customHeight="1">
      <c r="A373" s="40"/>
      <c r="B373" s="40"/>
    </row>
    <row r="374" spans="1:2" ht="14.25" customHeight="1">
      <c r="A374" s="40"/>
      <c r="B374" s="40"/>
    </row>
    <row r="375" spans="1:2" ht="14.25" customHeight="1">
      <c r="A375" s="40"/>
      <c r="B375" s="40"/>
    </row>
    <row r="376" spans="1:2" ht="14.25" customHeight="1">
      <c r="A376" s="40"/>
      <c r="B376" s="40"/>
    </row>
    <row r="377" spans="1:2" ht="14.25" customHeight="1">
      <c r="A377" s="40"/>
      <c r="B377" s="40"/>
    </row>
    <row r="378" spans="1:2" ht="14.25" customHeight="1">
      <c r="A378" s="40"/>
      <c r="B378" s="40"/>
    </row>
    <row r="379" spans="1:2" ht="14.25" customHeight="1">
      <c r="A379" s="40"/>
      <c r="B379" s="40"/>
    </row>
    <row r="380" spans="1:2" ht="14.25" customHeight="1">
      <c r="A380" s="40"/>
      <c r="B380" s="40"/>
    </row>
    <row r="381" spans="1:2" ht="14.25" customHeight="1">
      <c r="A381" s="40"/>
      <c r="B381" s="40"/>
    </row>
    <row r="382" spans="1:2" ht="14.25" customHeight="1">
      <c r="A382" s="40"/>
      <c r="B382" s="40"/>
    </row>
    <row r="383" spans="1:2" ht="14.25" customHeight="1">
      <c r="A383" s="40"/>
      <c r="B383" s="40"/>
    </row>
    <row r="384" spans="1:2" ht="14.25" customHeight="1">
      <c r="A384" s="40"/>
      <c r="B384" s="40"/>
    </row>
    <row r="385" spans="1:2" ht="14.25" customHeight="1">
      <c r="A385" s="40"/>
      <c r="B385" s="40"/>
    </row>
    <row r="386" spans="1:2" ht="14.25" customHeight="1">
      <c r="A386" s="40"/>
      <c r="B386" s="40"/>
    </row>
    <row r="387" spans="1:2" ht="14.25" customHeight="1">
      <c r="A387" s="40"/>
      <c r="B387" s="40"/>
    </row>
    <row r="388" spans="1:2" ht="14.25" customHeight="1">
      <c r="A388" s="40"/>
      <c r="B388" s="40"/>
    </row>
    <row r="389" spans="1:2" ht="14.25" customHeight="1">
      <c r="A389" s="40"/>
      <c r="B389" s="40"/>
    </row>
    <row r="390" spans="1:2" ht="14.25" customHeight="1">
      <c r="A390" s="40"/>
      <c r="B390" s="40"/>
    </row>
    <row r="391" spans="1:2" ht="14.25" customHeight="1">
      <c r="A391" s="40"/>
      <c r="B391" s="40"/>
    </row>
    <row r="392" spans="1:2" ht="14.25" customHeight="1">
      <c r="A392" s="40"/>
      <c r="B392" s="40"/>
    </row>
    <row r="393" spans="1:2" ht="14.25" customHeight="1">
      <c r="A393" s="40"/>
      <c r="B393" s="40"/>
    </row>
    <row r="394" spans="1:2" ht="14.25" customHeight="1">
      <c r="A394" s="40"/>
      <c r="B394" s="40"/>
    </row>
    <row r="395" spans="1:2" ht="14.25" customHeight="1">
      <c r="A395" s="40"/>
      <c r="B395" s="40"/>
    </row>
    <row r="396" spans="1:2" ht="14.25" customHeight="1">
      <c r="A396" s="40"/>
      <c r="B396" s="40"/>
    </row>
    <row r="397" spans="1:2" ht="14.25" customHeight="1">
      <c r="A397" s="40"/>
      <c r="B397" s="40"/>
    </row>
    <row r="398" spans="1:2" ht="14.25" customHeight="1">
      <c r="A398" s="40"/>
      <c r="B398" s="40"/>
    </row>
    <row r="399" spans="1:2" ht="14.25" customHeight="1">
      <c r="A399" s="40"/>
      <c r="B399" s="40"/>
    </row>
    <row r="400" spans="1:2" ht="14.25" customHeight="1">
      <c r="A400" s="40"/>
      <c r="B400" s="40"/>
    </row>
    <row r="401" spans="1:2" ht="14.25" customHeight="1">
      <c r="A401" s="40"/>
      <c r="B401" s="40"/>
    </row>
    <row r="402" spans="1:2" ht="14.25" customHeight="1">
      <c r="A402" s="40"/>
      <c r="B402" s="40"/>
    </row>
    <row r="403" spans="1:2" ht="14.25" customHeight="1">
      <c r="A403" s="40"/>
      <c r="B403" s="40"/>
    </row>
    <row r="404" spans="1:2" ht="14.25" customHeight="1">
      <c r="A404" s="40"/>
      <c r="B404" s="40"/>
    </row>
    <row r="405" spans="1:2" ht="14.25" customHeight="1">
      <c r="A405" s="40"/>
      <c r="B405" s="40"/>
    </row>
    <row r="406" spans="1:2" ht="14.25" customHeight="1">
      <c r="A406" s="40"/>
      <c r="B406" s="40"/>
    </row>
    <row r="407" spans="1:2" ht="14.25" customHeight="1">
      <c r="A407" s="40"/>
      <c r="B407" s="40"/>
    </row>
    <row r="408" spans="1:2" ht="14.25" customHeight="1">
      <c r="A408" s="40"/>
      <c r="B408" s="40"/>
    </row>
    <row r="409" spans="1:2" ht="14.25" customHeight="1">
      <c r="A409" s="40"/>
      <c r="B409" s="40"/>
    </row>
    <row r="410" spans="1:2" ht="14.25" customHeight="1">
      <c r="A410" s="40"/>
      <c r="B410" s="40"/>
    </row>
    <row r="411" spans="1:2" ht="14.25" customHeight="1">
      <c r="A411" s="40"/>
      <c r="B411" s="40"/>
    </row>
    <row r="412" spans="1:2" ht="14.25" customHeight="1">
      <c r="A412" s="40"/>
      <c r="B412" s="40"/>
    </row>
    <row r="413" spans="1:2" ht="14.25" customHeight="1">
      <c r="A413" s="40"/>
      <c r="B413" s="40"/>
    </row>
    <row r="414" spans="1:2" ht="14.25" customHeight="1">
      <c r="A414" s="40"/>
      <c r="B414" s="40"/>
    </row>
    <row r="415" spans="1:2" ht="14.25" customHeight="1">
      <c r="A415" s="40"/>
      <c r="B415" s="40"/>
    </row>
    <row r="416" spans="1:2" ht="14.25" customHeight="1">
      <c r="A416" s="40"/>
      <c r="B416" s="40"/>
    </row>
    <row r="417" spans="1:2" ht="14.25" customHeight="1">
      <c r="A417" s="40"/>
      <c r="B417" s="40"/>
    </row>
    <row r="418" spans="1:2" ht="14.25" customHeight="1">
      <c r="A418" s="40"/>
      <c r="B418" s="40"/>
    </row>
    <row r="419" spans="1:2" ht="14.25" customHeight="1">
      <c r="A419" s="40"/>
      <c r="B419" s="40"/>
    </row>
    <row r="420" spans="1:2" ht="14.25" customHeight="1">
      <c r="A420" s="40"/>
      <c r="B420" s="40"/>
    </row>
    <row r="421" spans="1:2" ht="14.25" customHeight="1">
      <c r="A421" s="40"/>
      <c r="B421" s="40"/>
    </row>
    <row r="422" spans="1:2" ht="14.25" customHeight="1">
      <c r="A422" s="40"/>
      <c r="B422" s="40"/>
    </row>
    <row r="423" spans="1:2" ht="14.25" customHeight="1">
      <c r="A423" s="40"/>
      <c r="B423" s="40"/>
    </row>
    <row r="424" spans="1:2" ht="14.25" customHeight="1">
      <c r="A424" s="40"/>
      <c r="B424" s="40"/>
    </row>
    <row r="425" spans="1:2" ht="14.25" customHeight="1">
      <c r="A425" s="40"/>
      <c r="B425" s="40"/>
    </row>
    <row r="426" spans="1:2" ht="14.25" customHeight="1">
      <c r="A426" s="40"/>
      <c r="B426" s="40"/>
    </row>
    <row r="427" spans="1:2" ht="14.25" customHeight="1">
      <c r="A427" s="40"/>
      <c r="B427" s="40"/>
    </row>
    <row r="428" spans="1:2" ht="14.25" customHeight="1">
      <c r="A428" s="40"/>
      <c r="B428" s="40"/>
    </row>
    <row r="429" spans="1:2" ht="14.25" customHeight="1">
      <c r="A429" s="40"/>
      <c r="B429" s="40"/>
    </row>
    <row r="430" spans="1:2" ht="14.25" customHeight="1">
      <c r="A430" s="40"/>
      <c r="B430" s="40"/>
    </row>
    <row r="431" spans="1:2" ht="14.25" customHeight="1">
      <c r="A431" s="40"/>
      <c r="B431" s="40"/>
    </row>
    <row r="432" spans="1:2" ht="14.25" customHeight="1">
      <c r="A432" s="40"/>
      <c r="B432" s="40"/>
    </row>
    <row r="433" spans="1:2" ht="14.25" customHeight="1">
      <c r="A433" s="40"/>
      <c r="B433" s="40"/>
    </row>
    <row r="434" spans="1:2" ht="14.25" customHeight="1">
      <c r="A434" s="40"/>
      <c r="B434" s="40"/>
    </row>
    <row r="435" spans="1:2" ht="14.25" customHeight="1">
      <c r="A435" s="40"/>
      <c r="B435" s="40"/>
    </row>
    <row r="436" spans="1:2" ht="14.25" customHeight="1">
      <c r="A436" s="40"/>
      <c r="B436" s="40"/>
    </row>
    <row r="437" spans="1:2" ht="14.25" customHeight="1">
      <c r="A437" s="40"/>
      <c r="B437" s="40"/>
    </row>
    <row r="438" spans="1:2" ht="14.25" customHeight="1">
      <c r="A438" s="40"/>
      <c r="B438" s="40"/>
    </row>
    <row r="439" spans="1:2" ht="14.25" customHeight="1">
      <c r="A439" s="40"/>
      <c r="B439" s="40"/>
    </row>
    <row r="440" spans="1:2" ht="14.25" customHeight="1">
      <c r="A440" s="40"/>
      <c r="B440" s="40"/>
    </row>
    <row r="441" spans="1:2" ht="14.25" customHeight="1">
      <c r="A441" s="40"/>
      <c r="B441" s="40"/>
    </row>
    <row r="442" spans="1:2" ht="14.25" customHeight="1">
      <c r="A442" s="40"/>
      <c r="B442" s="40"/>
    </row>
    <row r="443" spans="1:2" ht="14.25" customHeight="1">
      <c r="A443" s="40"/>
      <c r="B443" s="40"/>
    </row>
    <row r="444" spans="1:2" ht="14.25" customHeight="1">
      <c r="A444" s="40"/>
      <c r="B444" s="40"/>
    </row>
    <row r="445" spans="1:2" ht="14.25" customHeight="1">
      <c r="A445" s="40"/>
      <c r="B445" s="40"/>
    </row>
    <row r="446" spans="1:2" ht="14.25" customHeight="1">
      <c r="A446" s="40"/>
      <c r="B446" s="40"/>
    </row>
    <row r="447" spans="1:2" ht="14.25" customHeight="1">
      <c r="A447" s="40"/>
      <c r="B447" s="40"/>
    </row>
    <row r="448" spans="1:2" ht="14.25" customHeight="1">
      <c r="A448" s="40"/>
      <c r="B448" s="40"/>
    </row>
    <row r="449" spans="1:2" ht="14.25" customHeight="1">
      <c r="A449" s="40"/>
      <c r="B449" s="40"/>
    </row>
    <row r="450" spans="1:2" ht="14.25" customHeight="1">
      <c r="A450" s="40"/>
      <c r="B450" s="40"/>
    </row>
    <row r="451" spans="1:2" ht="14.25" customHeight="1">
      <c r="A451" s="40"/>
      <c r="B451" s="40"/>
    </row>
    <row r="452" spans="1:2" ht="14.25" customHeight="1">
      <c r="A452" s="40"/>
      <c r="B452" s="40"/>
    </row>
    <row r="453" spans="1:2" ht="14.25" customHeight="1">
      <c r="A453" s="40"/>
      <c r="B453" s="40"/>
    </row>
    <row r="454" spans="1:2" ht="14.25" customHeight="1">
      <c r="A454" s="40"/>
      <c r="B454" s="40"/>
    </row>
    <row r="455" spans="1:2" ht="14.25" customHeight="1">
      <c r="A455" s="40"/>
      <c r="B455" s="40"/>
    </row>
    <row r="456" spans="1:2" ht="14.25" customHeight="1">
      <c r="A456" s="40"/>
      <c r="B456" s="40"/>
    </row>
    <row r="457" spans="1:2" ht="14.25" customHeight="1">
      <c r="A457" s="40"/>
      <c r="B457" s="40"/>
    </row>
    <row r="458" spans="1:2" ht="14.25" customHeight="1">
      <c r="A458" s="40"/>
      <c r="B458" s="40"/>
    </row>
    <row r="459" spans="1:2" ht="14.25" customHeight="1">
      <c r="A459" s="40"/>
      <c r="B459" s="40"/>
    </row>
    <row r="460" spans="1:2" ht="14.25" customHeight="1">
      <c r="A460" s="40"/>
      <c r="B460" s="40"/>
    </row>
    <row r="461" spans="1:2" ht="14.25" customHeight="1">
      <c r="A461" s="40"/>
      <c r="B461" s="40"/>
    </row>
    <row r="462" spans="1:2" ht="14.25" customHeight="1">
      <c r="A462" s="40"/>
      <c r="B462" s="40"/>
    </row>
    <row r="463" spans="1:2" ht="14.25" customHeight="1">
      <c r="A463" s="40"/>
      <c r="B463" s="40"/>
    </row>
    <row r="464" spans="1:2" ht="14.25" customHeight="1">
      <c r="A464" s="40"/>
      <c r="B464" s="40"/>
    </row>
    <row r="465" spans="1:2" ht="14.25" customHeight="1">
      <c r="A465" s="40"/>
      <c r="B465" s="40"/>
    </row>
    <row r="466" spans="1:2" ht="14.25" customHeight="1">
      <c r="A466" s="40"/>
      <c r="B466" s="40"/>
    </row>
    <row r="467" spans="1:2" ht="14.25" customHeight="1">
      <c r="A467" s="40"/>
      <c r="B467" s="40"/>
    </row>
    <row r="468" spans="1:2" ht="14.25" customHeight="1">
      <c r="A468" s="40"/>
      <c r="B468" s="40"/>
    </row>
    <row r="469" spans="1:2" ht="14.25" customHeight="1">
      <c r="A469" s="40"/>
      <c r="B469" s="40"/>
    </row>
    <row r="470" spans="1:2" ht="14.25" customHeight="1">
      <c r="A470" s="40"/>
      <c r="B470" s="40"/>
    </row>
    <row r="471" spans="1:2" ht="14.25" customHeight="1">
      <c r="A471" s="40"/>
      <c r="B471" s="40"/>
    </row>
    <row r="472" spans="1:2" ht="14.25" customHeight="1">
      <c r="A472" s="40"/>
      <c r="B472" s="40"/>
    </row>
    <row r="473" spans="1:2" ht="14.25" customHeight="1">
      <c r="A473" s="40"/>
      <c r="B473" s="40"/>
    </row>
    <row r="474" spans="1:2" ht="14.25" customHeight="1">
      <c r="A474" s="40"/>
      <c r="B474" s="40"/>
    </row>
    <row r="475" spans="1:2" ht="14.25" customHeight="1">
      <c r="A475" s="40"/>
      <c r="B475" s="40"/>
    </row>
    <row r="476" spans="1:2" ht="14.25" customHeight="1">
      <c r="A476" s="40"/>
      <c r="B476" s="40"/>
    </row>
    <row r="477" spans="1:2" ht="14.25" customHeight="1">
      <c r="A477" s="40"/>
      <c r="B477" s="40"/>
    </row>
    <row r="478" spans="1:2" ht="14.25" customHeight="1">
      <c r="A478" s="40"/>
      <c r="B478" s="40"/>
    </row>
    <row r="479" spans="1:2" ht="14.25" customHeight="1">
      <c r="A479" s="40"/>
      <c r="B479" s="40"/>
    </row>
    <row r="480" spans="1:2" ht="14.25" customHeight="1">
      <c r="A480" s="40"/>
      <c r="B480" s="40"/>
    </row>
    <row r="481" spans="1:2" ht="14.25" customHeight="1">
      <c r="A481" s="40"/>
      <c r="B481" s="40"/>
    </row>
    <row r="482" spans="1:2" ht="14.25" customHeight="1">
      <c r="A482" s="40"/>
      <c r="B482" s="40"/>
    </row>
    <row r="483" spans="1:2" ht="14.25" customHeight="1">
      <c r="A483" s="40"/>
      <c r="B483" s="40"/>
    </row>
    <row r="484" spans="1:2" ht="14.25" customHeight="1">
      <c r="A484" s="40"/>
      <c r="B484" s="40"/>
    </row>
    <row r="485" spans="1:2" ht="14.25" customHeight="1">
      <c r="A485" s="40"/>
      <c r="B485" s="40"/>
    </row>
    <row r="486" spans="1:2" ht="14.25" customHeight="1">
      <c r="A486" s="40"/>
      <c r="B486" s="40"/>
    </row>
    <row r="487" spans="1:2" ht="14.25" customHeight="1">
      <c r="A487" s="40"/>
      <c r="B487" s="40"/>
    </row>
    <row r="488" spans="1:2" ht="14.25" customHeight="1">
      <c r="A488" s="40"/>
      <c r="B488" s="40"/>
    </row>
    <row r="489" spans="1:2" ht="14.25" customHeight="1">
      <c r="A489" s="40"/>
      <c r="B489" s="40"/>
    </row>
    <row r="490" spans="1:2" ht="14.25" customHeight="1">
      <c r="A490" s="40"/>
      <c r="B490" s="40"/>
    </row>
    <row r="491" spans="1:2" ht="14.25" customHeight="1">
      <c r="A491" s="40"/>
      <c r="B491" s="40"/>
    </row>
    <row r="492" spans="1:2" ht="14.25" customHeight="1">
      <c r="A492" s="40"/>
      <c r="B492" s="40"/>
    </row>
    <row r="493" spans="1:2" ht="14.25" customHeight="1">
      <c r="A493" s="40"/>
      <c r="B493" s="40"/>
    </row>
    <row r="494" spans="1:2" ht="14.25" customHeight="1">
      <c r="A494" s="40"/>
      <c r="B494" s="40"/>
    </row>
    <row r="495" spans="1:2" ht="14.25" customHeight="1">
      <c r="A495" s="40"/>
      <c r="B495" s="40"/>
    </row>
    <row r="496" spans="1:2" ht="14.25" customHeight="1">
      <c r="A496" s="40"/>
      <c r="B496" s="40"/>
    </row>
    <row r="497" spans="1:2" ht="14.25" customHeight="1">
      <c r="A497" s="40"/>
      <c r="B497" s="40"/>
    </row>
    <row r="498" spans="1:2" ht="14.25" customHeight="1">
      <c r="A498" s="40"/>
      <c r="B498" s="40"/>
    </row>
    <row r="499" spans="1:2" ht="14.25" customHeight="1">
      <c r="A499" s="40"/>
      <c r="B499" s="40"/>
    </row>
    <row r="500" spans="1:2" ht="14.25" customHeight="1">
      <c r="A500" s="40"/>
      <c r="B500" s="40"/>
    </row>
    <row r="501" spans="1:2" ht="14.25" customHeight="1">
      <c r="A501" s="40"/>
      <c r="B501" s="40"/>
    </row>
    <row r="502" spans="1:2" ht="14.25" customHeight="1">
      <c r="A502" s="40"/>
      <c r="B502" s="40"/>
    </row>
    <row r="503" spans="1:2" ht="14.25" customHeight="1">
      <c r="A503" s="40"/>
      <c r="B503" s="40"/>
    </row>
    <row r="504" spans="1:2" ht="14.25" customHeight="1">
      <c r="A504" s="40"/>
      <c r="B504" s="40"/>
    </row>
    <row r="505" spans="1:2" ht="14.25" customHeight="1">
      <c r="A505" s="40"/>
      <c r="B505" s="40"/>
    </row>
    <row r="506" spans="1:2" ht="14.25" customHeight="1">
      <c r="A506" s="40"/>
      <c r="B506" s="40"/>
    </row>
    <row r="507" spans="1:2" ht="14.25" customHeight="1">
      <c r="A507" s="40"/>
      <c r="B507" s="40"/>
    </row>
    <row r="508" spans="1:2" ht="14.25" customHeight="1">
      <c r="A508" s="40"/>
      <c r="B508" s="40"/>
    </row>
    <row r="509" spans="1:2" ht="14.25" customHeight="1">
      <c r="A509" s="40"/>
      <c r="B509" s="40"/>
    </row>
    <row r="510" spans="1:2" ht="14.25" customHeight="1">
      <c r="A510" s="40"/>
      <c r="B510" s="40"/>
    </row>
    <row r="511" spans="1:2" ht="14.25" customHeight="1">
      <c r="A511" s="40"/>
      <c r="B511" s="40"/>
    </row>
    <row r="512" spans="1:2" ht="14.25" customHeight="1">
      <c r="A512" s="40"/>
      <c r="B512" s="40"/>
    </row>
    <row r="513" spans="1:2" ht="14.25" customHeight="1">
      <c r="A513" s="40"/>
      <c r="B513" s="40"/>
    </row>
    <row r="514" spans="1:2" ht="14.25" customHeight="1">
      <c r="A514" s="40"/>
      <c r="B514" s="40"/>
    </row>
    <row r="515" spans="1:2" ht="14.25" customHeight="1">
      <c r="A515" s="40"/>
      <c r="B515" s="40"/>
    </row>
    <row r="516" spans="1:2" ht="14.25" customHeight="1">
      <c r="A516" s="40"/>
      <c r="B516" s="40"/>
    </row>
    <row r="517" spans="1:2" ht="14.25" customHeight="1">
      <c r="A517" s="40"/>
      <c r="B517" s="40"/>
    </row>
    <row r="518" spans="1:2" ht="14.25" customHeight="1">
      <c r="A518" s="40"/>
      <c r="B518" s="40"/>
    </row>
    <row r="519" spans="1:2" ht="14.25" customHeight="1">
      <c r="A519" s="40"/>
      <c r="B519" s="40"/>
    </row>
    <row r="520" spans="1:2" ht="14.25" customHeight="1">
      <c r="A520" s="40"/>
      <c r="B520" s="40"/>
    </row>
    <row r="521" spans="1:2" ht="14.25" customHeight="1">
      <c r="A521" s="40"/>
      <c r="B521" s="40"/>
    </row>
    <row r="522" spans="1:2" ht="14.25" customHeight="1">
      <c r="A522" s="40"/>
      <c r="B522" s="40"/>
    </row>
    <row r="523" spans="1:2" ht="14.25" customHeight="1">
      <c r="A523" s="40"/>
      <c r="B523" s="40"/>
    </row>
    <row r="524" spans="1:2" ht="14.25" customHeight="1">
      <c r="A524" s="40"/>
      <c r="B524" s="40"/>
    </row>
    <row r="525" spans="1:2" ht="14.25" customHeight="1">
      <c r="A525" s="40"/>
      <c r="B525" s="40"/>
    </row>
    <row r="526" spans="1:2" ht="14.25" customHeight="1">
      <c r="A526" s="40"/>
      <c r="B526" s="40"/>
    </row>
    <row r="527" spans="1:2" ht="14.25" customHeight="1">
      <c r="A527" s="40"/>
      <c r="B527" s="40"/>
    </row>
    <row r="528" spans="1:2" ht="14.25" customHeight="1">
      <c r="A528" s="40"/>
      <c r="B528" s="40"/>
    </row>
    <row r="529" spans="1:2" ht="14.25" customHeight="1">
      <c r="A529" s="40"/>
      <c r="B529" s="40"/>
    </row>
    <row r="530" spans="1:2" ht="14.25" customHeight="1">
      <c r="A530" s="40"/>
      <c r="B530" s="40"/>
    </row>
    <row r="531" spans="1:2" ht="14.25" customHeight="1">
      <c r="A531" s="40"/>
      <c r="B531" s="40"/>
    </row>
    <row r="532" spans="1:2" ht="14.25" customHeight="1">
      <c r="A532" s="40"/>
      <c r="B532" s="40"/>
    </row>
    <row r="533" spans="1:2" ht="14.25" customHeight="1">
      <c r="A533" s="40"/>
      <c r="B533" s="40"/>
    </row>
    <row r="534" spans="1:2" ht="14.25" customHeight="1">
      <c r="A534" s="40"/>
      <c r="B534" s="40"/>
    </row>
    <row r="535" spans="1:2" ht="14.25" customHeight="1">
      <c r="A535" s="40"/>
      <c r="B535" s="40"/>
    </row>
    <row r="536" spans="1:2" ht="14.25" customHeight="1">
      <c r="A536" s="40"/>
      <c r="B536" s="40"/>
    </row>
    <row r="537" spans="1:2" ht="14.25" customHeight="1">
      <c r="A537" s="40"/>
      <c r="B537" s="40"/>
    </row>
    <row r="538" spans="1:2" ht="14.25" customHeight="1">
      <c r="A538" s="40"/>
      <c r="B538" s="40"/>
    </row>
    <row r="539" spans="1:2" ht="14.25" customHeight="1">
      <c r="A539" s="40"/>
      <c r="B539" s="40"/>
    </row>
    <row r="540" spans="1:2" ht="14.25" customHeight="1">
      <c r="A540" s="40"/>
      <c r="B540" s="40"/>
    </row>
    <row r="541" spans="1:2" ht="14.25" customHeight="1">
      <c r="A541" s="40"/>
      <c r="B541" s="40"/>
    </row>
    <row r="542" spans="1:2" ht="14.25" customHeight="1">
      <c r="A542" s="40"/>
      <c r="B542" s="40"/>
    </row>
    <row r="543" spans="1:2" ht="14.25" customHeight="1">
      <c r="A543" s="40"/>
      <c r="B543" s="40"/>
    </row>
    <row r="544" spans="1:2" ht="14.25" customHeight="1">
      <c r="A544" s="40"/>
      <c r="B544" s="40"/>
    </row>
    <row r="545" spans="1:2" ht="14.25" customHeight="1">
      <c r="A545" s="40"/>
      <c r="B545" s="40"/>
    </row>
    <row r="546" spans="1:2" ht="14.25" customHeight="1">
      <c r="A546" s="40"/>
      <c r="B546" s="40"/>
    </row>
    <row r="547" spans="1:2" ht="14.25" customHeight="1">
      <c r="A547" s="40"/>
      <c r="B547" s="40"/>
    </row>
    <row r="548" spans="1:2" ht="14.25" customHeight="1">
      <c r="A548" s="40"/>
      <c r="B548" s="40"/>
    </row>
    <row r="549" spans="1:2" ht="14.25" customHeight="1">
      <c r="A549" s="40"/>
      <c r="B549" s="40"/>
    </row>
    <row r="550" spans="1:2" ht="14.25" customHeight="1">
      <c r="A550" s="40"/>
      <c r="B550" s="40"/>
    </row>
    <row r="551" spans="1:2" ht="14.25" customHeight="1">
      <c r="A551" s="40"/>
      <c r="B551" s="40"/>
    </row>
    <row r="552" spans="1:2" ht="14.25" customHeight="1">
      <c r="A552" s="40"/>
      <c r="B552" s="40"/>
    </row>
    <row r="553" spans="1:2" ht="14.25" customHeight="1">
      <c r="A553" s="40"/>
      <c r="B553" s="40"/>
    </row>
    <row r="554" spans="1:2" ht="14.25" customHeight="1">
      <c r="A554" s="40"/>
      <c r="B554" s="40"/>
    </row>
    <row r="555" spans="1:2" ht="14.25" customHeight="1">
      <c r="A555" s="40"/>
      <c r="B555" s="40"/>
    </row>
    <row r="556" spans="1:2" ht="14.25" customHeight="1">
      <c r="A556" s="40"/>
      <c r="B556" s="40"/>
    </row>
    <row r="557" spans="1:2" ht="14.25" customHeight="1">
      <c r="A557" s="40"/>
      <c r="B557" s="40"/>
    </row>
    <row r="558" spans="1:2" ht="14.25" customHeight="1">
      <c r="A558" s="40"/>
      <c r="B558" s="40"/>
    </row>
    <row r="559" spans="1:2" ht="14.25" customHeight="1">
      <c r="A559" s="40"/>
      <c r="B559" s="40"/>
    </row>
    <row r="560" spans="1:2" ht="14.25" customHeight="1">
      <c r="A560" s="40"/>
      <c r="B560" s="40"/>
    </row>
    <row r="561" spans="1:2" ht="14.25" customHeight="1">
      <c r="A561" s="40"/>
      <c r="B561" s="40"/>
    </row>
    <row r="562" spans="1:2" ht="14.25" customHeight="1">
      <c r="A562" s="40"/>
      <c r="B562" s="40"/>
    </row>
    <row r="563" spans="1:2" ht="14.25" customHeight="1">
      <c r="A563" s="40"/>
      <c r="B563" s="40"/>
    </row>
    <row r="564" spans="1:2" ht="14.25" customHeight="1">
      <c r="A564" s="40"/>
      <c r="B564" s="40"/>
    </row>
    <row r="565" spans="1:2" ht="14.25" customHeight="1">
      <c r="A565" s="40"/>
      <c r="B565" s="40"/>
    </row>
    <row r="566" spans="1:2" ht="14.25" customHeight="1">
      <c r="A566" s="40"/>
      <c r="B566" s="40"/>
    </row>
    <row r="567" spans="1:2" ht="14.25" customHeight="1">
      <c r="A567" s="40"/>
      <c r="B567" s="40"/>
    </row>
    <row r="568" spans="1:2" ht="14.25" customHeight="1">
      <c r="A568" s="40"/>
      <c r="B568" s="40"/>
    </row>
    <row r="569" spans="1:2" ht="14.25" customHeight="1">
      <c r="A569" s="40"/>
      <c r="B569" s="40"/>
    </row>
    <row r="570" spans="1:2" ht="14.25" customHeight="1">
      <c r="A570" s="40"/>
      <c r="B570" s="40"/>
    </row>
    <row r="571" spans="1:2" ht="14.25" customHeight="1">
      <c r="A571" s="40"/>
      <c r="B571" s="40"/>
    </row>
    <row r="572" spans="1:2" ht="14.25" customHeight="1">
      <c r="A572" s="40"/>
      <c r="B572" s="40"/>
    </row>
    <row r="573" spans="1:2" ht="14.25" customHeight="1">
      <c r="A573" s="40"/>
      <c r="B573" s="40"/>
    </row>
    <row r="574" spans="1:2" ht="14.25" customHeight="1">
      <c r="A574" s="40"/>
      <c r="B574" s="40"/>
    </row>
    <row r="575" spans="1:2" ht="14.25" customHeight="1">
      <c r="A575" s="40"/>
      <c r="B575" s="40"/>
    </row>
    <row r="576" spans="1:2" ht="14.25" customHeight="1">
      <c r="A576" s="40"/>
      <c r="B576" s="40"/>
    </row>
    <row r="577" spans="1:2" ht="14.25" customHeight="1">
      <c r="A577" s="40"/>
      <c r="B577" s="40"/>
    </row>
    <row r="578" spans="1:2" ht="14.25" customHeight="1">
      <c r="A578" s="40"/>
      <c r="B578" s="40"/>
    </row>
    <row r="579" spans="1:2" ht="14.25" customHeight="1">
      <c r="A579" s="40"/>
      <c r="B579" s="40"/>
    </row>
    <row r="580" spans="1:2" ht="14.25" customHeight="1">
      <c r="A580" s="40"/>
      <c r="B580" s="40"/>
    </row>
    <row r="581" spans="1:2" ht="14.25" customHeight="1">
      <c r="A581" s="40"/>
      <c r="B581" s="40"/>
    </row>
    <row r="582" spans="1:2" ht="14.25" customHeight="1">
      <c r="A582" s="40"/>
      <c r="B582" s="40"/>
    </row>
    <row r="583" spans="1:2" ht="14.25" customHeight="1">
      <c r="A583" s="40"/>
      <c r="B583" s="40"/>
    </row>
    <row r="584" spans="1:2" ht="14.25" customHeight="1">
      <c r="A584" s="40"/>
      <c r="B584" s="40"/>
    </row>
    <row r="585" spans="1:2" ht="14.25" customHeight="1">
      <c r="A585" s="40"/>
      <c r="B585" s="40"/>
    </row>
    <row r="586" spans="1:2" ht="14.25" customHeight="1">
      <c r="A586" s="40"/>
      <c r="B586" s="40"/>
    </row>
    <row r="587" spans="1:2" ht="14.25" customHeight="1">
      <c r="A587" s="40"/>
      <c r="B587" s="40"/>
    </row>
    <row r="588" spans="1:2" ht="14.25" customHeight="1">
      <c r="A588" s="40"/>
      <c r="B588" s="40"/>
    </row>
    <row r="589" spans="1:2" ht="14.25" customHeight="1">
      <c r="A589" s="40"/>
      <c r="B589" s="40"/>
    </row>
    <row r="590" spans="1:2" ht="14.25" customHeight="1">
      <c r="A590" s="40"/>
      <c r="B590" s="40"/>
    </row>
    <row r="591" spans="1:2" ht="14.25" customHeight="1">
      <c r="A591" s="40"/>
      <c r="B591" s="40"/>
    </row>
    <row r="592" spans="1:2" ht="14.25" customHeight="1">
      <c r="A592" s="40"/>
      <c r="B592" s="40"/>
    </row>
    <row r="593" spans="1:2" ht="14.25" customHeight="1">
      <c r="A593" s="40"/>
      <c r="B593" s="40"/>
    </row>
    <row r="594" spans="1:2" ht="14.25" customHeight="1">
      <c r="A594" s="40"/>
      <c r="B594" s="40"/>
    </row>
    <row r="595" spans="1:2" ht="14.25" customHeight="1">
      <c r="A595" s="40"/>
      <c r="B595" s="40"/>
    </row>
    <row r="596" spans="1:2" ht="14.25" customHeight="1">
      <c r="A596" s="40"/>
      <c r="B596" s="40"/>
    </row>
    <row r="597" spans="1:2" ht="14.25" customHeight="1">
      <c r="A597" s="40"/>
      <c r="B597" s="40"/>
    </row>
    <row r="598" spans="1:2" ht="14.25" customHeight="1">
      <c r="A598" s="40"/>
      <c r="B598" s="40"/>
    </row>
    <row r="599" spans="1:2" ht="14.25" customHeight="1">
      <c r="A599" s="40"/>
      <c r="B599" s="40"/>
    </row>
    <row r="600" spans="1:2" ht="14.25" customHeight="1">
      <c r="A600" s="40"/>
      <c r="B600" s="40"/>
    </row>
    <row r="601" spans="1:2" ht="14.25" customHeight="1">
      <c r="A601" s="40"/>
      <c r="B601" s="40"/>
    </row>
    <row r="602" spans="1:2" ht="14.25" customHeight="1">
      <c r="A602" s="40"/>
      <c r="B602" s="40"/>
    </row>
    <row r="603" spans="1:2" ht="14.25" customHeight="1">
      <c r="A603" s="40"/>
      <c r="B603" s="40"/>
    </row>
    <row r="604" spans="1:2" ht="14.25" customHeight="1">
      <c r="A604" s="40"/>
      <c r="B604" s="40"/>
    </row>
    <row r="605" spans="1:2" ht="14.25" customHeight="1">
      <c r="A605" s="40"/>
      <c r="B605" s="40"/>
    </row>
    <row r="606" spans="1:2" ht="14.25" customHeight="1">
      <c r="A606" s="40"/>
      <c r="B606" s="40"/>
    </row>
    <row r="607" spans="1:2" ht="14.25" customHeight="1">
      <c r="A607" s="40"/>
      <c r="B607" s="40"/>
    </row>
    <row r="608" spans="1:2" ht="14.25" customHeight="1">
      <c r="A608" s="40"/>
      <c r="B608" s="40"/>
    </row>
    <row r="609" spans="1:2" ht="14.25" customHeight="1">
      <c r="A609" s="40"/>
      <c r="B609" s="40"/>
    </row>
    <row r="610" spans="1:2" ht="14.25" customHeight="1">
      <c r="A610" s="40"/>
      <c r="B610" s="40"/>
    </row>
    <row r="611" spans="1:2" ht="14.25" customHeight="1">
      <c r="A611" s="40"/>
      <c r="B611" s="40"/>
    </row>
    <row r="612" spans="1:2" ht="14.25" customHeight="1">
      <c r="A612" s="40"/>
      <c r="B612" s="40"/>
    </row>
    <row r="613" spans="1:2" ht="14.25" customHeight="1">
      <c r="A613" s="40"/>
      <c r="B613" s="40"/>
    </row>
    <row r="614" spans="1:2" ht="14.25" customHeight="1">
      <c r="A614" s="40"/>
      <c r="B614" s="40"/>
    </row>
    <row r="615" spans="1:2" ht="14.25" customHeight="1">
      <c r="A615" s="40"/>
      <c r="B615" s="40"/>
    </row>
    <row r="616" spans="1:2" ht="14.25" customHeight="1">
      <c r="A616" s="40"/>
      <c r="B616" s="40"/>
    </row>
    <row r="617" spans="1:2" ht="14.25" customHeight="1">
      <c r="A617" s="40"/>
      <c r="B617" s="40"/>
    </row>
    <row r="618" spans="1:2" ht="14.25" customHeight="1">
      <c r="A618" s="40"/>
      <c r="B618" s="40"/>
    </row>
    <row r="619" spans="1:2" ht="14.25" customHeight="1">
      <c r="A619" s="40"/>
      <c r="B619" s="40"/>
    </row>
    <row r="620" spans="1:2" ht="14.25" customHeight="1">
      <c r="A620" s="40"/>
      <c r="B620" s="40"/>
    </row>
    <row r="621" spans="1:2" ht="14.25" customHeight="1">
      <c r="A621" s="40"/>
      <c r="B621" s="40"/>
    </row>
    <row r="622" spans="1:2" ht="14.25" customHeight="1">
      <c r="A622" s="40"/>
      <c r="B622" s="40"/>
    </row>
    <row r="623" spans="1:2" ht="14.25" customHeight="1">
      <c r="A623" s="40"/>
      <c r="B623" s="40"/>
    </row>
    <row r="624" spans="1:2" ht="14.25" customHeight="1">
      <c r="A624" s="40"/>
      <c r="B624" s="40"/>
    </row>
    <row r="625" spans="1:2" ht="14.25" customHeight="1">
      <c r="A625" s="40"/>
      <c r="B625" s="40"/>
    </row>
    <row r="626" spans="1:2" ht="14.25" customHeight="1">
      <c r="A626" s="40"/>
      <c r="B626" s="40"/>
    </row>
    <row r="627" spans="1:2" ht="14.25" customHeight="1">
      <c r="A627" s="40"/>
      <c r="B627" s="40"/>
    </row>
    <row r="628" spans="1:2" ht="14.25" customHeight="1">
      <c r="A628" s="40"/>
      <c r="B628" s="40"/>
    </row>
    <row r="629" spans="1:2" ht="14.25" customHeight="1">
      <c r="A629" s="40"/>
      <c r="B629" s="40"/>
    </row>
    <row r="630" spans="1:2" ht="14.25" customHeight="1">
      <c r="A630" s="40"/>
      <c r="B630" s="40"/>
    </row>
    <row r="631" spans="1:2" ht="14.25" customHeight="1">
      <c r="A631" s="40"/>
      <c r="B631" s="40"/>
    </row>
    <row r="632" spans="1:2" ht="14.25" customHeight="1">
      <c r="A632" s="40"/>
      <c r="B632" s="40"/>
    </row>
    <row r="633" spans="1:2" ht="14.25" customHeight="1">
      <c r="A633" s="40"/>
      <c r="B633" s="40"/>
    </row>
    <row r="634" spans="1:2" ht="14.25" customHeight="1">
      <c r="A634" s="40"/>
      <c r="B634" s="40"/>
    </row>
    <row r="635" spans="1:2" ht="14.25" customHeight="1">
      <c r="A635" s="40"/>
      <c r="B635" s="40"/>
    </row>
    <row r="636" spans="1:2" ht="14.25" customHeight="1">
      <c r="A636" s="40"/>
      <c r="B636" s="40"/>
    </row>
    <row r="637" spans="1:2" ht="14.25" customHeight="1">
      <c r="A637" s="40"/>
      <c r="B637" s="40"/>
    </row>
    <row r="638" spans="1:2" ht="14.25" customHeight="1">
      <c r="A638" s="40"/>
      <c r="B638" s="40"/>
    </row>
    <row r="639" spans="1:2" ht="14.25" customHeight="1">
      <c r="A639" s="40"/>
      <c r="B639" s="40"/>
    </row>
    <row r="640" spans="1:2" ht="14.25" customHeight="1">
      <c r="A640" s="40"/>
      <c r="B640" s="40"/>
    </row>
    <row r="641" spans="1:2" ht="14.25" customHeight="1">
      <c r="A641" s="40"/>
      <c r="B641" s="40"/>
    </row>
    <row r="642" spans="1:2" ht="14.25" customHeight="1">
      <c r="A642" s="40"/>
      <c r="B642" s="40"/>
    </row>
    <row r="643" spans="1:2" ht="14.25" customHeight="1">
      <c r="A643" s="40"/>
      <c r="B643" s="40"/>
    </row>
    <row r="644" spans="1:2" ht="14.25" customHeight="1">
      <c r="A644" s="40"/>
      <c r="B644" s="40"/>
    </row>
    <row r="645" spans="1:2" ht="14.25" customHeight="1">
      <c r="A645" s="40"/>
      <c r="B645" s="40"/>
    </row>
    <row r="646" spans="1:2" ht="14.25" customHeight="1">
      <c r="A646" s="40"/>
      <c r="B646" s="40"/>
    </row>
    <row r="647" spans="1:2" ht="14.25" customHeight="1">
      <c r="A647" s="40"/>
      <c r="B647" s="40"/>
    </row>
    <row r="648" spans="1:2" ht="14.25" customHeight="1">
      <c r="A648" s="40"/>
      <c r="B648" s="40"/>
    </row>
    <row r="649" spans="1:2" ht="14.25" customHeight="1">
      <c r="A649" s="40"/>
      <c r="B649" s="40"/>
    </row>
    <row r="650" spans="1:2" ht="14.25" customHeight="1">
      <c r="A650" s="40"/>
      <c r="B650" s="40"/>
    </row>
    <row r="651" spans="1:2" ht="14.25" customHeight="1">
      <c r="A651" s="40"/>
      <c r="B651" s="40"/>
    </row>
    <row r="652" spans="1:2" ht="14.25" customHeight="1">
      <c r="A652" s="40"/>
      <c r="B652" s="40"/>
    </row>
    <row r="653" spans="1:2" ht="14.25" customHeight="1">
      <c r="A653" s="40"/>
      <c r="B653" s="40"/>
    </row>
    <row r="654" spans="1:2" ht="14.25" customHeight="1">
      <c r="A654" s="40"/>
      <c r="B654" s="40"/>
    </row>
    <row r="655" spans="1:2" ht="14.25" customHeight="1">
      <c r="A655" s="40"/>
      <c r="B655" s="40"/>
    </row>
    <row r="656" spans="1:2" ht="14.25" customHeight="1">
      <c r="A656" s="40"/>
      <c r="B656" s="40"/>
    </row>
    <row r="657" spans="1:2" ht="14.25" customHeight="1">
      <c r="A657" s="40"/>
      <c r="B657" s="40"/>
    </row>
    <row r="658" spans="1:2" ht="14.25" customHeight="1">
      <c r="A658" s="40"/>
      <c r="B658" s="40"/>
    </row>
    <row r="659" spans="1:2" ht="14.25" customHeight="1">
      <c r="A659" s="40"/>
      <c r="B659" s="40"/>
    </row>
    <row r="660" spans="1:2" ht="14.25" customHeight="1">
      <c r="A660" s="40"/>
      <c r="B660" s="40"/>
    </row>
    <row r="661" spans="1:2" ht="14.25" customHeight="1">
      <c r="A661" s="40"/>
      <c r="B661" s="40"/>
    </row>
    <row r="662" spans="1:2" ht="14.25" customHeight="1">
      <c r="A662" s="40"/>
      <c r="B662" s="40"/>
    </row>
    <row r="663" spans="1:2" ht="14.25" customHeight="1">
      <c r="A663" s="40"/>
      <c r="B663" s="40"/>
    </row>
    <row r="664" spans="1:2" ht="14.25" customHeight="1">
      <c r="A664" s="40"/>
      <c r="B664" s="40"/>
    </row>
    <row r="665" spans="1:2" ht="14.25" customHeight="1">
      <c r="A665" s="40"/>
      <c r="B665" s="40"/>
    </row>
    <row r="666" spans="1:2" ht="14.25" customHeight="1">
      <c r="A666" s="40"/>
      <c r="B666" s="40"/>
    </row>
    <row r="667" spans="1:2" ht="14.25" customHeight="1">
      <c r="A667" s="40"/>
      <c r="B667" s="40"/>
    </row>
    <row r="668" spans="1:2" ht="14.25" customHeight="1">
      <c r="A668" s="40"/>
      <c r="B668" s="40"/>
    </row>
    <row r="669" spans="1:2" ht="14.25" customHeight="1">
      <c r="A669" s="40"/>
      <c r="B669" s="40"/>
    </row>
    <row r="670" spans="1:2" ht="14.25" customHeight="1">
      <c r="A670" s="40"/>
      <c r="B670" s="40"/>
    </row>
    <row r="671" spans="1:2" ht="14.25" customHeight="1">
      <c r="A671" s="40"/>
      <c r="B671" s="40"/>
    </row>
    <row r="672" spans="1:2" ht="14.25" customHeight="1">
      <c r="A672" s="40"/>
      <c r="B672" s="40"/>
    </row>
    <row r="673" spans="1:2" ht="14.25" customHeight="1">
      <c r="A673" s="40"/>
      <c r="B673" s="40"/>
    </row>
    <row r="674" spans="1:2" ht="14.25" customHeight="1">
      <c r="A674" s="40"/>
      <c r="B674" s="40"/>
    </row>
    <row r="675" spans="1:2" ht="14.25" customHeight="1">
      <c r="A675" s="40"/>
      <c r="B675" s="40"/>
    </row>
    <row r="676" spans="1:2" ht="14.25" customHeight="1">
      <c r="A676" s="40"/>
      <c r="B676" s="40"/>
    </row>
    <row r="677" spans="1:2" ht="14.25" customHeight="1">
      <c r="A677" s="40"/>
      <c r="B677" s="40"/>
    </row>
    <row r="678" spans="1:2" ht="14.25" customHeight="1">
      <c r="A678" s="40"/>
      <c r="B678" s="40"/>
    </row>
    <row r="679" spans="1:2" ht="14.25" customHeight="1">
      <c r="A679" s="40"/>
      <c r="B679" s="40"/>
    </row>
    <row r="680" spans="1:2" ht="14.25" customHeight="1">
      <c r="A680" s="40"/>
      <c r="B680" s="40"/>
    </row>
    <row r="681" spans="1:2" ht="14.25" customHeight="1">
      <c r="A681" s="40"/>
      <c r="B681" s="40"/>
    </row>
    <row r="682" spans="1:2" ht="14.25" customHeight="1">
      <c r="A682" s="40"/>
      <c r="B682" s="40"/>
    </row>
    <row r="683" spans="1:2" ht="14.25" customHeight="1">
      <c r="A683" s="40"/>
      <c r="B683" s="40"/>
    </row>
    <row r="684" spans="1:2" ht="14.25" customHeight="1">
      <c r="A684" s="40"/>
      <c r="B684" s="40"/>
    </row>
    <row r="685" spans="1:2" ht="14.25" customHeight="1">
      <c r="A685" s="40"/>
      <c r="B685" s="40"/>
    </row>
    <row r="686" spans="1:2" ht="14.25" customHeight="1">
      <c r="A686" s="40"/>
      <c r="B686" s="40"/>
    </row>
    <row r="687" spans="1:2" ht="14.25" customHeight="1">
      <c r="A687" s="40"/>
      <c r="B687" s="40"/>
    </row>
    <row r="688" spans="1:2" ht="14.25" customHeight="1">
      <c r="A688" s="40"/>
      <c r="B688" s="40"/>
    </row>
    <row r="689" spans="1:2" ht="14.25" customHeight="1">
      <c r="A689" s="40"/>
      <c r="B689" s="40"/>
    </row>
    <row r="690" spans="1:2" ht="14.25" customHeight="1">
      <c r="A690" s="40"/>
      <c r="B690" s="40"/>
    </row>
    <row r="691" spans="1:2" ht="14.25" customHeight="1">
      <c r="A691" s="40"/>
      <c r="B691" s="40"/>
    </row>
    <row r="692" spans="1:2" ht="14.25" customHeight="1">
      <c r="A692" s="40"/>
      <c r="B692" s="40"/>
    </row>
    <row r="693" spans="1:2" ht="14.25" customHeight="1">
      <c r="A693" s="40"/>
      <c r="B693" s="40"/>
    </row>
    <row r="694" spans="1:2" ht="14.25" customHeight="1">
      <c r="A694" s="40"/>
      <c r="B694" s="40"/>
    </row>
    <row r="695" spans="1:2" ht="14.25" customHeight="1">
      <c r="A695" s="40"/>
      <c r="B695" s="40"/>
    </row>
    <row r="696" spans="1:2" ht="14.25" customHeight="1">
      <c r="A696" s="40"/>
      <c r="B696" s="40"/>
    </row>
    <row r="697" spans="1:2" ht="14.25" customHeight="1">
      <c r="A697" s="40"/>
      <c r="B697" s="40"/>
    </row>
    <row r="698" spans="1:2" ht="14.25" customHeight="1">
      <c r="A698" s="40"/>
      <c r="B698" s="40"/>
    </row>
    <row r="699" spans="1:2" ht="14.25" customHeight="1">
      <c r="A699" s="40"/>
      <c r="B699" s="40"/>
    </row>
    <row r="700" spans="1:2" ht="14.25" customHeight="1">
      <c r="A700" s="40"/>
      <c r="B700" s="40"/>
    </row>
    <row r="701" spans="1:2" ht="14.25" customHeight="1">
      <c r="A701" s="40"/>
      <c r="B701" s="40"/>
    </row>
    <row r="702" spans="1:2" ht="14.25" customHeight="1">
      <c r="A702" s="40"/>
      <c r="B702" s="40"/>
    </row>
    <row r="703" spans="1:2" ht="14.25" customHeight="1">
      <c r="A703" s="40"/>
      <c r="B703" s="40"/>
    </row>
    <row r="704" spans="1:2" ht="14.25" customHeight="1">
      <c r="A704" s="40"/>
      <c r="B704" s="40"/>
    </row>
    <row r="705" spans="1:2" ht="14.25" customHeight="1">
      <c r="A705" s="40"/>
      <c r="B705" s="40"/>
    </row>
    <row r="706" spans="1:2" ht="14.25" customHeight="1">
      <c r="A706" s="40"/>
      <c r="B706" s="40"/>
    </row>
    <row r="707" spans="1:2" ht="14.25" customHeight="1">
      <c r="A707" s="40"/>
      <c r="B707" s="40"/>
    </row>
    <row r="708" spans="1:2" ht="14.25" customHeight="1">
      <c r="A708" s="40"/>
      <c r="B708" s="40"/>
    </row>
    <row r="709" spans="1:2" ht="14.25" customHeight="1">
      <c r="A709" s="40"/>
      <c r="B709" s="40"/>
    </row>
    <row r="710" spans="1:2" ht="14.25" customHeight="1">
      <c r="A710" s="40"/>
      <c r="B710" s="40"/>
    </row>
    <row r="711" spans="1:2" ht="14.25" customHeight="1">
      <c r="A711" s="40"/>
      <c r="B711" s="40"/>
    </row>
    <row r="712" spans="1:2" ht="14.25" customHeight="1">
      <c r="A712" s="40"/>
      <c r="B712" s="40"/>
    </row>
    <row r="713" spans="1:2" ht="14.25" customHeight="1">
      <c r="A713" s="40"/>
      <c r="B713" s="40"/>
    </row>
    <row r="714" spans="1:2" ht="14.25" customHeight="1">
      <c r="A714" s="40"/>
      <c r="B714" s="40"/>
    </row>
    <row r="715" spans="1:2" ht="14.25" customHeight="1">
      <c r="A715" s="40"/>
      <c r="B715" s="40"/>
    </row>
    <row r="716" spans="1:2" ht="14.25" customHeight="1">
      <c r="A716" s="40"/>
      <c r="B716" s="40"/>
    </row>
    <row r="717" spans="1:2" ht="14.25" customHeight="1">
      <c r="A717" s="40"/>
      <c r="B717" s="40"/>
    </row>
    <row r="718" spans="1:2" ht="14.25" customHeight="1">
      <c r="A718" s="40"/>
      <c r="B718" s="40"/>
    </row>
    <row r="719" spans="1:2" ht="14.25" customHeight="1">
      <c r="A719" s="40"/>
      <c r="B719" s="40"/>
    </row>
    <row r="720" spans="1:2" ht="14.25" customHeight="1">
      <c r="A720" s="40"/>
      <c r="B720" s="40"/>
    </row>
    <row r="721" spans="1:2" ht="14.25" customHeight="1">
      <c r="A721" s="40"/>
      <c r="B721" s="40"/>
    </row>
    <row r="722" spans="1:2" ht="14.25" customHeight="1">
      <c r="A722" s="40"/>
      <c r="B722" s="40"/>
    </row>
    <row r="723" spans="1:2" ht="14.25" customHeight="1">
      <c r="A723" s="40"/>
      <c r="B723" s="40"/>
    </row>
    <row r="724" spans="1:2" ht="14.25" customHeight="1">
      <c r="A724" s="40"/>
      <c r="B724" s="40"/>
    </row>
    <row r="725" spans="1:2" ht="14.25" customHeight="1">
      <c r="A725" s="40"/>
      <c r="B725" s="40"/>
    </row>
    <row r="726" spans="1:2" ht="14.25" customHeight="1">
      <c r="A726" s="40"/>
      <c r="B726" s="40"/>
    </row>
    <row r="727" spans="1:2" ht="14.25" customHeight="1">
      <c r="A727" s="40"/>
      <c r="B727" s="40"/>
    </row>
    <row r="728" spans="1:2" ht="14.25" customHeight="1">
      <c r="A728" s="40"/>
      <c r="B728" s="40"/>
    </row>
    <row r="729" spans="1:2" ht="14.25" customHeight="1">
      <c r="A729" s="40"/>
      <c r="B729" s="40"/>
    </row>
    <row r="730" spans="1:2" ht="14.25" customHeight="1">
      <c r="A730" s="40"/>
      <c r="B730" s="40"/>
    </row>
    <row r="731" spans="1:2" ht="14.25" customHeight="1">
      <c r="A731" s="40"/>
      <c r="B731" s="40"/>
    </row>
    <row r="732" spans="1:2" ht="14.25" customHeight="1">
      <c r="A732" s="40"/>
      <c r="B732" s="40"/>
    </row>
    <row r="733" spans="1:2" ht="14.25" customHeight="1">
      <c r="A733" s="40"/>
      <c r="B733" s="40"/>
    </row>
    <row r="734" spans="1:2" ht="14.25" customHeight="1">
      <c r="A734" s="40"/>
      <c r="B734" s="40"/>
    </row>
    <row r="735" spans="1:2" ht="14.25" customHeight="1">
      <c r="A735" s="40"/>
      <c r="B735" s="40"/>
    </row>
    <row r="736" spans="1:2" ht="14.25" customHeight="1">
      <c r="A736" s="40"/>
      <c r="B736" s="40"/>
    </row>
    <row r="737" spans="1:2" ht="14.25" customHeight="1">
      <c r="A737" s="40"/>
      <c r="B737" s="40"/>
    </row>
    <row r="738" spans="1:2" ht="14.25" customHeight="1">
      <c r="A738" s="40"/>
      <c r="B738" s="40"/>
    </row>
    <row r="739" spans="1:2" ht="14.25" customHeight="1">
      <c r="A739" s="40"/>
      <c r="B739" s="40"/>
    </row>
    <row r="740" spans="1:2" ht="14.25" customHeight="1">
      <c r="A740" s="40"/>
      <c r="B740" s="40"/>
    </row>
    <row r="741" spans="1:2" ht="14.25" customHeight="1">
      <c r="A741" s="40"/>
      <c r="B741" s="40"/>
    </row>
    <row r="742" spans="1:2" ht="14.25" customHeight="1">
      <c r="A742" s="40"/>
      <c r="B742" s="40"/>
    </row>
    <row r="743" spans="1:2" ht="14.25" customHeight="1">
      <c r="A743" s="40"/>
      <c r="B743" s="40"/>
    </row>
    <row r="744" spans="1:2" ht="14.25" customHeight="1">
      <c r="A744" s="40"/>
      <c r="B744" s="40"/>
    </row>
    <row r="745" spans="1:2" ht="14.25" customHeight="1">
      <c r="A745" s="40"/>
      <c r="B745" s="40"/>
    </row>
    <row r="746" spans="1:2" ht="14.25" customHeight="1">
      <c r="A746" s="40"/>
      <c r="B746" s="40"/>
    </row>
    <row r="747" spans="1:2" ht="14.25" customHeight="1">
      <c r="A747" s="40"/>
      <c r="B747" s="40"/>
    </row>
    <row r="748" spans="1:2" ht="14.25" customHeight="1">
      <c r="A748" s="40"/>
      <c r="B748" s="40"/>
    </row>
    <row r="749" spans="1:2" ht="14.25" customHeight="1">
      <c r="A749" s="40"/>
      <c r="B749" s="40"/>
    </row>
    <row r="750" spans="1:2" ht="14.25" customHeight="1">
      <c r="A750" s="40"/>
      <c r="B750" s="40"/>
    </row>
    <row r="751" spans="1:2" ht="14.25" customHeight="1">
      <c r="A751" s="40"/>
      <c r="B751" s="40"/>
    </row>
    <row r="752" spans="1:2" ht="14.25" customHeight="1">
      <c r="A752" s="40"/>
      <c r="B752" s="40"/>
    </row>
    <row r="753" spans="1:2" ht="14.25" customHeight="1">
      <c r="A753" s="40"/>
      <c r="B753" s="40"/>
    </row>
    <row r="754" spans="1:2" ht="14.25" customHeight="1">
      <c r="A754" s="40"/>
      <c r="B754" s="40"/>
    </row>
    <row r="755" spans="1:2" ht="14.25" customHeight="1">
      <c r="A755" s="40"/>
      <c r="B755" s="40"/>
    </row>
    <row r="756" spans="1:2" ht="14.25" customHeight="1">
      <c r="A756" s="40"/>
      <c r="B756" s="40"/>
    </row>
    <row r="757" spans="1:2" ht="14.25" customHeight="1">
      <c r="A757" s="40"/>
      <c r="B757" s="40"/>
    </row>
    <row r="758" spans="1:2" ht="14.25" customHeight="1">
      <c r="A758" s="40"/>
      <c r="B758" s="40"/>
    </row>
    <row r="759" spans="1:2" ht="14.25" customHeight="1">
      <c r="A759" s="40"/>
      <c r="B759" s="40"/>
    </row>
    <row r="760" spans="1:2" ht="14.25" customHeight="1">
      <c r="A760" s="40"/>
      <c r="B760" s="40"/>
    </row>
    <row r="761" spans="1:2" ht="14.25" customHeight="1">
      <c r="A761" s="40"/>
      <c r="B761" s="40"/>
    </row>
    <row r="762" spans="1:2" ht="14.25" customHeight="1">
      <c r="A762" s="40"/>
      <c r="B762" s="40"/>
    </row>
    <row r="763" spans="1:2" ht="14.25" customHeight="1">
      <c r="A763" s="40"/>
      <c r="B763" s="40"/>
    </row>
    <row r="764" spans="1:2" ht="14.25" customHeight="1">
      <c r="A764" s="40"/>
      <c r="B764" s="40"/>
    </row>
    <row r="765" spans="1:2" ht="14.25" customHeight="1">
      <c r="A765" s="40"/>
      <c r="B765" s="40"/>
    </row>
    <row r="766" spans="1:2" ht="14.25" customHeight="1">
      <c r="A766" s="40"/>
      <c r="B766" s="40"/>
    </row>
    <row r="767" spans="1:2" ht="14.25" customHeight="1">
      <c r="A767" s="40"/>
      <c r="B767" s="40"/>
    </row>
    <row r="768" spans="1:2" ht="14.25" customHeight="1">
      <c r="A768" s="40"/>
      <c r="B768" s="40"/>
    </row>
    <row r="769" spans="1:2" ht="14.25" customHeight="1">
      <c r="A769" s="40"/>
      <c r="B769" s="40"/>
    </row>
    <row r="770" spans="1:2" ht="14.25" customHeight="1">
      <c r="A770" s="40"/>
      <c r="B770" s="40"/>
    </row>
    <row r="771" spans="1:2" ht="14.25" customHeight="1">
      <c r="A771" s="40"/>
      <c r="B771" s="40"/>
    </row>
    <row r="772" spans="1:2" ht="14.25" customHeight="1">
      <c r="A772" s="40"/>
      <c r="B772" s="40"/>
    </row>
    <row r="773" spans="1:2" ht="14.25" customHeight="1">
      <c r="A773" s="40"/>
      <c r="B773" s="40"/>
    </row>
    <row r="774" spans="1:2" ht="14.25" customHeight="1">
      <c r="A774" s="40"/>
      <c r="B774" s="40"/>
    </row>
    <row r="775" spans="1:2" ht="14.25" customHeight="1">
      <c r="A775" s="40"/>
      <c r="B775" s="40"/>
    </row>
    <row r="776" spans="1:2" ht="14.25" customHeight="1">
      <c r="A776" s="40"/>
      <c r="B776" s="40"/>
    </row>
    <row r="777" spans="1:2" ht="14.25" customHeight="1">
      <c r="A777" s="40"/>
      <c r="B777" s="40"/>
    </row>
    <row r="778" spans="1:2" ht="14.25" customHeight="1">
      <c r="A778" s="40"/>
      <c r="B778" s="40"/>
    </row>
    <row r="779" spans="1:2" ht="14.25" customHeight="1">
      <c r="A779" s="40"/>
      <c r="B779" s="40"/>
    </row>
    <row r="780" spans="1:2" ht="14.25" customHeight="1">
      <c r="A780" s="40"/>
      <c r="B780" s="40"/>
    </row>
    <row r="781" spans="1:2" ht="14.25" customHeight="1">
      <c r="A781" s="40"/>
      <c r="B781" s="40"/>
    </row>
    <row r="782" spans="1:2" ht="14.25" customHeight="1">
      <c r="A782" s="40"/>
      <c r="B782" s="40"/>
    </row>
    <row r="783" spans="1:2" ht="14.25" customHeight="1">
      <c r="A783" s="40"/>
      <c r="B783" s="40"/>
    </row>
    <row r="784" spans="1:2" ht="14.25" customHeight="1">
      <c r="A784" s="40"/>
      <c r="B784" s="40"/>
    </row>
    <row r="785" spans="1:2" ht="14.25" customHeight="1">
      <c r="A785" s="40"/>
      <c r="B785" s="40"/>
    </row>
    <row r="786" spans="1:2" ht="14.25" customHeight="1">
      <c r="A786" s="40"/>
      <c r="B786" s="40"/>
    </row>
    <row r="787" spans="1:2" ht="14.25" customHeight="1">
      <c r="A787" s="40"/>
      <c r="B787" s="40"/>
    </row>
    <row r="788" spans="1:2" ht="14.25" customHeight="1">
      <c r="A788" s="40"/>
      <c r="B788" s="40"/>
    </row>
    <row r="789" spans="1:2" ht="14.25" customHeight="1">
      <c r="A789" s="40"/>
      <c r="B789" s="40"/>
    </row>
    <row r="790" spans="1:2" ht="14.25" customHeight="1">
      <c r="A790" s="40"/>
      <c r="B790" s="40"/>
    </row>
    <row r="791" spans="1:2" ht="14.25" customHeight="1">
      <c r="A791" s="40"/>
      <c r="B791" s="40"/>
    </row>
    <row r="792" spans="1:2" ht="14.25" customHeight="1">
      <c r="A792" s="40"/>
      <c r="B792" s="40"/>
    </row>
    <row r="793" spans="1:2" ht="14.25" customHeight="1">
      <c r="A793" s="40"/>
      <c r="B793" s="40"/>
    </row>
    <row r="794" spans="1:2" ht="14.25" customHeight="1">
      <c r="A794" s="40"/>
      <c r="B794" s="40"/>
    </row>
    <row r="795" spans="1:2" ht="14.25" customHeight="1">
      <c r="A795" s="40"/>
      <c r="B795" s="40"/>
    </row>
    <row r="796" spans="1:2" ht="14.25" customHeight="1">
      <c r="A796" s="40"/>
      <c r="B796" s="40"/>
    </row>
    <row r="797" spans="1:2" ht="14.25" customHeight="1">
      <c r="A797" s="40"/>
      <c r="B797" s="40"/>
    </row>
    <row r="798" spans="1:2" ht="14.25" customHeight="1">
      <c r="A798" s="40"/>
      <c r="B798" s="40"/>
    </row>
    <row r="799" spans="1:2" ht="14.25" customHeight="1">
      <c r="A799" s="40"/>
      <c r="B799" s="40"/>
    </row>
    <row r="800" spans="1:2" ht="14.25" customHeight="1">
      <c r="A800" s="40"/>
      <c r="B800" s="40"/>
    </row>
    <row r="801" spans="1:2" ht="14.25" customHeight="1">
      <c r="A801" s="40"/>
      <c r="B801" s="40"/>
    </row>
    <row r="802" spans="1:2" ht="14.25" customHeight="1">
      <c r="A802" s="40"/>
      <c r="B802" s="40"/>
    </row>
    <row r="803" spans="1:2" ht="14.25" customHeight="1">
      <c r="A803" s="40"/>
      <c r="B803" s="40"/>
    </row>
    <row r="804" spans="1:2" ht="14.25" customHeight="1">
      <c r="A804" s="40"/>
      <c r="B804" s="40"/>
    </row>
    <row r="805" spans="1:2" ht="14.25" customHeight="1">
      <c r="A805" s="40"/>
      <c r="B805" s="40"/>
    </row>
    <row r="806" spans="1:2" ht="14.25" customHeight="1">
      <c r="A806" s="40"/>
      <c r="B806" s="40"/>
    </row>
    <row r="807" spans="1:2" ht="14.25" customHeight="1">
      <c r="A807" s="40"/>
      <c r="B807" s="40"/>
    </row>
    <row r="808" spans="1:2" ht="14.25" customHeight="1">
      <c r="A808" s="40"/>
      <c r="B808" s="40"/>
    </row>
    <row r="809" spans="1:2" ht="14.25" customHeight="1">
      <c r="A809" s="40"/>
      <c r="B809" s="40"/>
    </row>
    <row r="810" spans="1:2" ht="14.25" customHeight="1">
      <c r="A810" s="40"/>
      <c r="B810" s="40"/>
    </row>
    <row r="811" spans="1:2" ht="14.25" customHeight="1">
      <c r="A811" s="40"/>
      <c r="B811" s="40"/>
    </row>
    <row r="812" spans="1:2" ht="14.25" customHeight="1">
      <c r="A812" s="40"/>
      <c r="B812" s="40"/>
    </row>
    <row r="813" spans="1:2" ht="14.25" customHeight="1">
      <c r="A813" s="40"/>
      <c r="B813" s="40"/>
    </row>
    <row r="814" spans="1:2" ht="14.25" customHeight="1">
      <c r="A814" s="40"/>
      <c r="B814" s="40"/>
    </row>
    <row r="815" spans="1:2" ht="14.25" customHeight="1">
      <c r="A815" s="40"/>
      <c r="B815" s="40"/>
    </row>
    <row r="816" spans="1:2" ht="14.25" customHeight="1">
      <c r="A816" s="40"/>
      <c r="B816" s="40"/>
    </row>
    <row r="817" spans="1:2" ht="14.25" customHeight="1">
      <c r="A817" s="40"/>
      <c r="B817" s="40"/>
    </row>
    <row r="818" spans="1:2" ht="14.25" customHeight="1">
      <c r="A818" s="40"/>
      <c r="B818" s="40"/>
    </row>
    <row r="819" spans="1:2" ht="14.25" customHeight="1">
      <c r="A819" s="40"/>
      <c r="B819" s="40"/>
    </row>
    <row r="820" spans="1:2" ht="14.25" customHeight="1">
      <c r="A820" s="40"/>
      <c r="B820" s="40"/>
    </row>
    <row r="821" spans="1:2" ht="14.25" customHeight="1">
      <c r="A821" s="40"/>
      <c r="B821" s="40"/>
    </row>
    <row r="822" spans="1:2" ht="14.25" customHeight="1">
      <c r="A822" s="40"/>
      <c r="B822" s="40"/>
    </row>
    <row r="823" spans="1:2" ht="14.25" customHeight="1">
      <c r="A823" s="40"/>
      <c r="B823" s="40"/>
    </row>
    <row r="824" spans="1:2" ht="14.25" customHeight="1">
      <c r="A824" s="40"/>
      <c r="B824" s="40"/>
    </row>
    <row r="825" spans="1:2" ht="14.25" customHeight="1">
      <c r="A825" s="40"/>
      <c r="B825" s="40"/>
    </row>
    <row r="826" spans="1:2" ht="14.25" customHeight="1">
      <c r="A826" s="40"/>
      <c r="B826" s="40"/>
    </row>
    <row r="827" spans="1:2" ht="14.25" customHeight="1">
      <c r="A827" s="40"/>
      <c r="B827" s="40"/>
    </row>
    <row r="828" spans="1:2" ht="14.25" customHeight="1">
      <c r="A828" s="40"/>
      <c r="B828" s="40"/>
    </row>
    <row r="829" spans="1:2" ht="14.25" customHeight="1">
      <c r="A829" s="40"/>
      <c r="B829" s="40"/>
    </row>
    <row r="830" spans="1:2" ht="14.25" customHeight="1">
      <c r="A830" s="40"/>
      <c r="B830" s="40"/>
    </row>
    <row r="831" spans="1:2" ht="14.25" customHeight="1">
      <c r="A831" s="40"/>
      <c r="B831" s="40"/>
    </row>
    <row r="832" spans="1:2" ht="14.25" customHeight="1">
      <c r="A832" s="40"/>
      <c r="B832" s="40"/>
    </row>
    <row r="833" spans="1:2" ht="14.25" customHeight="1">
      <c r="A833" s="40"/>
      <c r="B833" s="40"/>
    </row>
    <row r="834" spans="1:2" ht="14.25" customHeight="1">
      <c r="A834" s="40"/>
      <c r="B834" s="40"/>
    </row>
    <row r="835" spans="1:2" ht="14.25" customHeight="1">
      <c r="A835" s="40"/>
      <c r="B835" s="40"/>
    </row>
    <row r="836" spans="1:2" ht="14.25" customHeight="1">
      <c r="A836" s="40"/>
      <c r="B836" s="40"/>
    </row>
    <row r="837" spans="1:2" ht="14.25" customHeight="1">
      <c r="A837" s="40"/>
      <c r="B837" s="40"/>
    </row>
    <row r="838" spans="1:2" ht="14.25" customHeight="1">
      <c r="A838" s="40"/>
      <c r="B838" s="40"/>
    </row>
    <row r="839" spans="1:2" ht="14.25" customHeight="1">
      <c r="A839" s="40"/>
      <c r="B839" s="40"/>
    </row>
    <row r="840" spans="1:2" ht="14.25" customHeight="1">
      <c r="A840" s="40"/>
      <c r="B840" s="40"/>
    </row>
    <row r="841" spans="1:2" ht="14.25" customHeight="1">
      <c r="A841" s="40"/>
      <c r="B841" s="40"/>
    </row>
    <row r="842" spans="1:2" ht="14.25" customHeight="1">
      <c r="A842" s="40"/>
      <c r="B842" s="40"/>
    </row>
    <row r="843" spans="1:2" ht="14.25" customHeight="1">
      <c r="A843" s="40"/>
      <c r="B843" s="40"/>
    </row>
    <row r="844" spans="1:2" ht="14.25" customHeight="1">
      <c r="A844" s="40"/>
      <c r="B844" s="40"/>
    </row>
    <row r="845" spans="1:2" ht="14.25" customHeight="1">
      <c r="A845" s="40"/>
      <c r="B845" s="40"/>
    </row>
    <row r="846" spans="1:2" ht="14.25" customHeight="1">
      <c r="A846" s="40"/>
      <c r="B846" s="40"/>
    </row>
    <row r="847" spans="1:2" ht="14.25" customHeight="1">
      <c r="A847" s="40"/>
      <c r="B847" s="40"/>
    </row>
    <row r="848" spans="1:2" ht="14.25" customHeight="1">
      <c r="A848" s="40"/>
      <c r="B848" s="40"/>
    </row>
    <row r="849" spans="1:2" ht="14.25" customHeight="1">
      <c r="A849" s="40"/>
      <c r="B849" s="40"/>
    </row>
    <row r="850" spans="1:2" ht="14.25" customHeight="1">
      <c r="A850" s="40"/>
      <c r="B850" s="40"/>
    </row>
    <row r="851" spans="1:2" ht="14.25" customHeight="1">
      <c r="A851" s="40"/>
      <c r="B851" s="40"/>
    </row>
    <row r="852" spans="1:2" ht="14.25" customHeight="1">
      <c r="A852" s="40"/>
      <c r="B852" s="40"/>
    </row>
    <row r="853" spans="1:2" ht="14.25" customHeight="1">
      <c r="A853" s="40"/>
      <c r="B853" s="40"/>
    </row>
    <row r="854" spans="1:2" ht="14.25" customHeight="1">
      <c r="A854" s="40"/>
      <c r="B854" s="40"/>
    </row>
    <row r="855" spans="1:2" ht="14.25" customHeight="1">
      <c r="A855" s="40"/>
      <c r="B855" s="40"/>
    </row>
    <row r="856" spans="1:2" ht="14.25" customHeight="1">
      <c r="A856" s="40"/>
      <c r="B856" s="40"/>
    </row>
    <row r="857" spans="1:2" ht="14.25" customHeight="1">
      <c r="A857" s="40"/>
      <c r="B857" s="40"/>
    </row>
    <row r="858" spans="1:2" ht="14.25" customHeight="1">
      <c r="A858" s="40"/>
      <c r="B858" s="40"/>
    </row>
    <row r="859" spans="1:2" ht="14.25" customHeight="1">
      <c r="A859" s="40"/>
      <c r="B859" s="40"/>
    </row>
    <row r="860" spans="1:2" ht="14.25" customHeight="1">
      <c r="A860" s="40"/>
      <c r="B860" s="40"/>
    </row>
    <row r="861" spans="1:2" ht="14.25" customHeight="1">
      <c r="A861" s="40"/>
      <c r="B861" s="40"/>
    </row>
    <row r="862" spans="1:2" ht="14.25" customHeight="1">
      <c r="A862" s="40"/>
      <c r="B862" s="40"/>
    </row>
    <row r="863" spans="1:2" ht="14.25" customHeight="1">
      <c r="A863" s="40"/>
      <c r="B863" s="40"/>
    </row>
    <row r="864" spans="1:2" ht="14.25" customHeight="1">
      <c r="A864" s="40"/>
      <c r="B864" s="40"/>
    </row>
    <row r="865" spans="1:2" ht="14.25" customHeight="1">
      <c r="A865" s="40"/>
      <c r="B865" s="40"/>
    </row>
    <row r="866" spans="1:2" ht="14.25" customHeight="1">
      <c r="A866" s="40"/>
      <c r="B866" s="40"/>
    </row>
    <row r="867" spans="1:2" ht="14.25" customHeight="1">
      <c r="A867" s="40"/>
      <c r="B867" s="40"/>
    </row>
    <row r="868" spans="1:2" ht="14.25" customHeight="1">
      <c r="A868" s="40"/>
      <c r="B868" s="40"/>
    </row>
    <row r="869" spans="1:2" ht="14.25" customHeight="1">
      <c r="A869" s="40"/>
      <c r="B869" s="40"/>
    </row>
    <row r="870" spans="1:2" ht="14.25" customHeight="1">
      <c r="A870" s="40"/>
      <c r="B870" s="40"/>
    </row>
    <row r="871" spans="1:2" ht="14.25" customHeight="1">
      <c r="A871" s="40"/>
      <c r="B871" s="40"/>
    </row>
    <row r="872" spans="1:2" ht="14.25" customHeight="1">
      <c r="A872" s="40"/>
      <c r="B872" s="40"/>
    </row>
    <row r="873" spans="1:2" ht="14.25" customHeight="1">
      <c r="A873" s="40"/>
      <c r="B873" s="40"/>
    </row>
    <row r="874" spans="1:2" ht="14.25" customHeight="1">
      <c r="A874" s="40"/>
      <c r="B874" s="40"/>
    </row>
    <row r="875" spans="1:2" ht="14.25" customHeight="1">
      <c r="A875" s="40"/>
      <c r="B875" s="40"/>
    </row>
    <row r="876" spans="1:2" ht="14.25" customHeight="1">
      <c r="A876" s="40"/>
      <c r="B876" s="40"/>
    </row>
    <row r="877" spans="1:2" ht="14.25" customHeight="1">
      <c r="A877" s="40"/>
      <c r="B877" s="40"/>
    </row>
    <row r="878" spans="1:2" ht="14.25" customHeight="1">
      <c r="A878" s="40"/>
      <c r="B878" s="40"/>
    </row>
    <row r="879" spans="1:2" ht="14.25" customHeight="1">
      <c r="A879" s="40"/>
      <c r="B879" s="40"/>
    </row>
    <row r="880" spans="1:2" ht="14.25" customHeight="1">
      <c r="A880" s="40"/>
      <c r="B880" s="40"/>
    </row>
    <row r="881" spans="1:2" ht="14.25" customHeight="1">
      <c r="A881" s="40"/>
      <c r="B881" s="40"/>
    </row>
    <row r="882" spans="1:2" ht="14.25" customHeight="1">
      <c r="A882" s="40"/>
      <c r="B882" s="40"/>
    </row>
    <row r="883" spans="1:2" ht="14.25" customHeight="1">
      <c r="A883" s="40"/>
      <c r="B883" s="40"/>
    </row>
    <row r="884" spans="1:2" ht="14.25" customHeight="1">
      <c r="A884" s="40"/>
      <c r="B884" s="40"/>
    </row>
    <row r="885" spans="1:2" ht="14.25" customHeight="1">
      <c r="A885" s="40"/>
      <c r="B885" s="40"/>
    </row>
    <row r="886" spans="1:2" ht="14.25" customHeight="1">
      <c r="A886" s="40"/>
      <c r="B886" s="40"/>
    </row>
    <row r="887" spans="1:2" ht="14.25" customHeight="1">
      <c r="A887" s="40"/>
      <c r="B887" s="40"/>
    </row>
    <row r="888" spans="1:2" ht="14.25" customHeight="1">
      <c r="A888" s="40"/>
      <c r="B888" s="40"/>
    </row>
    <row r="889" spans="1:2" ht="14.25" customHeight="1">
      <c r="A889" s="40"/>
      <c r="B889" s="40"/>
    </row>
    <row r="890" spans="1:2" ht="14.25" customHeight="1">
      <c r="A890" s="40"/>
      <c r="B890" s="40"/>
    </row>
    <row r="891" spans="1:2" ht="14.25" customHeight="1">
      <c r="A891" s="40"/>
      <c r="B891" s="40"/>
    </row>
    <row r="892" spans="1:2" ht="14.25" customHeight="1">
      <c r="A892" s="40"/>
      <c r="B892" s="40"/>
    </row>
    <row r="893" spans="1:2" ht="14.25" customHeight="1">
      <c r="A893" s="40"/>
      <c r="B893" s="40"/>
    </row>
    <row r="894" spans="1:2" ht="14.25" customHeight="1">
      <c r="A894" s="40"/>
      <c r="B894" s="40"/>
    </row>
    <row r="895" spans="1:2" ht="14.25" customHeight="1">
      <c r="A895" s="40"/>
      <c r="B895" s="40"/>
    </row>
    <row r="896" spans="1:2" ht="14.25" customHeight="1">
      <c r="A896" s="40"/>
      <c r="B896" s="40"/>
    </row>
    <row r="897" spans="1:2" ht="14.25" customHeight="1">
      <c r="A897" s="40"/>
      <c r="B897" s="40"/>
    </row>
    <row r="898" spans="1:2" ht="14.25" customHeight="1">
      <c r="A898" s="40"/>
      <c r="B898" s="40"/>
    </row>
    <row r="899" spans="1:2" ht="14.25" customHeight="1">
      <c r="A899" s="40"/>
      <c r="B899" s="40"/>
    </row>
    <row r="900" spans="1:2" ht="14.25" customHeight="1">
      <c r="A900" s="40"/>
      <c r="B900" s="40"/>
    </row>
    <row r="901" spans="1:2" ht="14.25" customHeight="1">
      <c r="A901" s="40"/>
      <c r="B901" s="40"/>
    </row>
    <row r="902" spans="1:2" ht="14.25" customHeight="1">
      <c r="A902" s="40"/>
      <c r="B902" s="40"/>
    </row>
    <row r="903" spans="1:2" ht="14.25" customHeight="1">
      <c r="A903" s="40"/>
      <c r="B903" s="40"/>
    </row>
    <row r="904" spans="1:2" ht="14.25" customHeight="1">
      <c r="A904" s="40"/>
      <c r="B904" s="40"/>
    </row>
    <row r="905" spans="1:2" ht="14.25" customHeight="1">
      <c r="A905" s="40"/>
      <c r="B905" s="40"/>
    </row>
    <row r="906" spans="1:2" ht="14.25" customHeight="1">
      <c r="A906" s="40"/>
      <c r="B906" s="40"/>
    </row>
    <row r="907" spans="1:2" ht="14.25" customHeight="1">
      <c r="A907" s="40"/>
      <c r="B907" s="40"/>
    </row>
    <row r="908" spans="1:2" ht="14.25" customHeight="1">
      <c r="A908" s="40"/>
      <c r="B908" s="40"/>
    </row>
    <row r="909" spans="1:2" ht="14.25" customHeight="1">
      <c r="A909" s="40"/>
      <c r="B909" s="40"/>
    </row>
    <row r="910" spans="1:2" ht="14.25" customHeight="1">
      <c r="A910" s="40"/>
      <c r="B910" s="40"/>
    </row>
    <row r="911" spans="1:2" ht="14.25" customHeight="1">
      <c r="A911" s="40"/>
      <c r="B911" s="40"/>
    </row>
    <row r="912" spans="1:2" ht="14.25" customHeight="1">
      <c r="A912" s="40"/>
      <c r="B912" s="40"/>
    </row>
    <row r="913" spans="1:2" ht="14.25" customHeight="1">
      <c r="A913" s="40"/>
      <c r="B913" s="40"/>
    </row>
    <row r="914" spans="1:2" ht="14.25" customHeight="1">
      <c r="A914" s="40"/>
      <c r="B914" s="40"/>
    </row>
    <row r="915" spans="1:2" ht="14.25" customHeight="1">
      <c r="A915" s="40"/>
      <c r="B915" s="40"/>
    </row>
    <row r="916" spans="1:2" ht="14.25" customHeight="1">
      <c r="A916" s="40"/>
      <c r="B916" s="40"/>
    </row>
    <row r="917" spans="1:2" ht="14.25" customHeight="1">
      <c r="A917" s="40"/>
      <c r="B917" s="40"/>
    </row>
    <row r="918" spans="1:2" ht="14.25" customHeight="1">
      <c r="A918" s="40"/>
      <c r="B918" s="40"/>
    </row>
    <row r="919" spans="1:2" ht="14.25" customHeight="1">
      <c r="A919" s="40"/>
      <c r="B919" s="40"/>
    </row>
    <row r="920" spans="1:2" ht="14.25" customHeight="1">
      <c r="A920" s="40"/>
      <c r="B920" s="40"/>
    </row>
    <row r="921" spans="1:2" ht="14.25" customHeight="1">
      <c r="A921" s="40"/>
      <c r="B921" s="40"/>
    </row>
    <row r="922" spans="1:2" ht="14.25" customHeight="1">
      <c r="A922" s="40"/>
      <c r="B922" s="40"/>
    </row>
    <row r="923" spans="1:2" ht="14.25" customHeight="1">
      <c r="A923" s="40"/>
      <c r="B923" s="40"/>
    </row>
    <row r="924" spans="1:2" ht="14.25" customHeight="1">
      <c r="A924" s="40"/>
      <c r="B924" s="40"/>
    </row>
    <row r="925" spans="1:2" ht="14.25" customHeight="1">
      <c r="A925" s="40"/>
      <c r="B925" s="40"/>
    </row>
    <row r="926" spans="1:2" ht="14.25" customHeight="1">
      <c r="A926" s="40"/>
      <c r="B926" s="40"/>
    </row>
    <row r="927" spans="1:2" ht="14.25" customHeight="1">
      <c r="A927" s="40"/>
      <c r="B927" s="40"/>
    </row>
    <row r="928" spans="1:2" ht="14.25" customHeight="1">
      <c r="A928" s="40"/>
      <c r="B928" s="40"/>
    </row>
    <row r="929" spans="1:2" ht="14.25" customHeight="1">
      <c r="A929" s="40"/>
      <c r="B929" s="40"/>
    </row>
    <row r="930" spans="1:2" ht="14.25" customHeight="1">
      <c r="A930" s="40"/>
      <c r="B930" s="40"/>
    </row>
    <row r="931" spans="1:2" ht="14.25" customHeight="1">
      <c r="A931" s="40"/>
      <c r="B931" s="40"/>
    </row>
    <row r="932" spans="1:2" ht="14.25" customHeight="1">
      <c r="A932" s="40"/>
      <c r="B932" s="40"/>
    </row>
    <row r="933" spans="1:2" ht="14.25" customHeight="1">
      <c r="A933" s="40"/>
      <c r="B933" s="40"/>
    </row>
    <row r="934" spans="1:2" ht="14.25" customHeight="1">
      <c r="A934" s="40"/>
      <c r="B934" s="40"/>
    </row>
    <row r="935" spans="1:2" ht="14.25" customHeight="1">
      <c r="A935" s="40"/>
      <c r="B935" s="40"/>
    </row>
    <row r="936" spans="1:2" ht="14.25" customHeight="1">
      <c r="A936" s="40"/>
      <c r="B936" s="40"/>
    </row>
    <row r="937" spans="1:2" ht="14.25" customHeight="1">
      <c r="A937" s="40"/>
      <c r="B937" s="40"/>
    </row>
    <row r="938" spans="1:2" ht="14.25" customHeight="1">
      <c r="A938" s="40"/>
      <c r="B938" s="40"/>
    </row>
    <row r="939" spans="1:2" ht="14.25" customHeight="1">
      <c r="A939" s="40"/>
      <c r="B939" s="40"/>
    </row>
    <row r="940" spans="1:2" ht="14.25" customHeight="1">
      <c r="A940" s="40"/>
      <c r="B940" s="40"/>
    </row>
    <row r="941" spans="1:2" ht="14.25" customHeight="1">
      <c r="A941" s="40"/>
      <c r="B941" s="40"/>
    </row>
    <row r="942" spans="1:2" ht="14.25" customHeight="1">
      <c r="A942" s="40"/>
      <c r="B942" s="40"/>
    </row>
    <row r="943" spans="1:2" ht="14.25" customHeight="1">
      <c r="A943" s="40"/>
      <c r="B943" s="40"/>
    </row>
    <row r="944" spans="1:2" ht="14.25" customHeight="1">
      <c r="A944" s="40"/>
      <c r="B944" s="40"/>
    </row>
    <row r="945" spans="1:2" ht="14.25" customHeight="1">
      <c r="A945" s="40"/>
      <c r="B945" s="40"/>
    </row>
    <row r="946" spans="1:2" ht="14.25" customHeight="1">
      <c r="A946" s="40"/>
      <c r="B946" s="40"/>
    </row>
    <row r="947" spans="1:2" ht="14.25" customHeight="1">
      <c r="A947" s="40"/>
      <c r="B947" s="40"/>
    </row>
    <row r="948" spans="1:2" ht="14.25" customHeight="1">
      <c r="A948" s="40"/>
      <c r="B948" s="40"/>
    </row>
    <row r="949" spans="1:2" ht="14.25" customHeight="1">
      <c r="A949" s="40"/>
      <c r="B949" s="40"/>
    </row>
    <row r="950" spans="1:2" ht="14.25" customHeight="1">
      <c r="A950" s="40"/>
      <c r="B950" s="40"/>
    </row>
    <row r="951" spans="1:2" ht="14.25" customHeight="1">
      <c r="A951" s="40"/>
      <c r="B951" s="40"/>
    </row>
    <row r="952" spans="1:2" ht="14.25" customHeight="1">
      <c r="A952" s="40"/>
      <c r="B952" s="40"/>
    </row>
    <row r="953" spans="1:2" ht="14.25" customHeight="1">
      <c r="A953" s="40"/>
      <c r="B953" s="40"/>
    </row>
    <row r="954" spans="1:2" ht="14.25" customHeight="1">
      <c r="A954" s="40"/>
      <c r="B954" s="40"/>
    </row>
    <row r="955" spans="1:2" ht="14.25" customHeight="1">
      <c r="A955" s="40"/>
      <c r="B955" s="40"/>
    </row>
    <row r="956" spans="1:2" ht="14.25" customHeight="1">
      <c r="A956" s="40"/>
      <c r="B956" s="40"/>
    </row>
    <row r="957" spans="1:2" ht="14.25" customHeight="1">
      <c r="A957" s="40"/>
      <c r="B957" s="40"/>
    </row>
    <row r="958" spans="1:2" ht="14.25" customHeight="1">
      <c r="A958" s="40"/>
      <c r="B958" s="40"/>
    </row>
    <row r="959" spans="1:2" ht="14.25" customHeight="1">
      <c r="A959" s="40"/>
      <c r="B959" s="40"/>
    </row>
    <row r="960" spans="1:2" ht="14.25" customHeight="1">
      <c r="A960" s="40"/>
      <c r="B960" s="40"/>
    </row>
    <row r="961" spans="1:2" ht="14.25" customHeight="1">
      <c r="A961" s="40"/>
      <c r="B961" s="40"/>
    </row>
    <row r="962" spans="1:2" ht="14.25" customHeight="1">
      <c r="A962" s="40"/>
      <c r="B962" s="40"/>
    </row>
    <row r="963" spans="1:2" ht="14.25" customHeight="1">
      <c r="A963" s="40"/>
      <c r="B963" s="40"/>
    </row>
    <row r="964" spans="1:2" ht="14.25" customHeight="1">
      <c r="A964" s="40"/>
      <c r="B964" s="40"/>
    </row>
    <row r="965" spans="1:2" ht="14.25" customHeight="1">
      <c r="A965" s="40"/>
      <c r="B965" s="40"/>
    </row>
    <row r="966" spans="1:2" ht="14.25" customHeight="1">
      <c r="A966" s="40"/>
      <c r="B966" s="40"/>
    </row>
    <row r="967" spans="1:2" ht="14.25" customHeight="1">
      <c r="A967" s="40"/>
      <c r="B967" s="40"/>
    </row>
    <row r="968" spans="1:2" ht="14.25" customHeight="1">
      <c r="A968" s="40"/>
      <c r="B968" s="40"/>
    </row>
    <row r="969" spans="1:2" ht="14.25" customHeight="1">
      <c r="A969" s="40"/>
      <c r="B969" s="40"/>
    </row>
    <row r="970" spans="1:2" ht="14.25" customHeight="1">
      <c r="A970" s="40"/>
      <c r="B970" s="40"/>
    </row>
    <row r="971" spans="1:2" ht="14.25" customHeight="1">
      <c r="A971" s="40"/>
      <c r="B971" s="40"/>
    </row>
    <row r="972" spans="1:2" ht="14.25" customHeight="1">
      <c r="A972" s="40"/>
      <c r="B972" s="40"/>
    </row>
    <row r="973" spans="1:2" ht="14.25" customHeight="1">
      <c r="A973" s="40"/>
      <c r="B973" s="40"/>
    </row>
    <row r="974" spans="1:2" ht="14.25" customHeight="1">
      <c r="A974" s="40"/>
      <c r="B974" s="40"/>
    </row>
    <row r="975" spans="1:2" ht="14.25" customHeight="1">
      <c r="A975" s="40"/>
      <c r="B975" s="40"/>
    </row>
    <row r="976" spans="1:2" ht="14.25" customHeight="1">
      <c r="A976" s="40"/>
      <c r="B976" s="40"/>
    </row>
    <row r="977" spans="1:2" ht="14.25" customHeight="1">
      <c r="A977" s="40"/>
      <c r="B977" s="40"/>
    </row>
    <row r="978" spans="1:2" ht="14.25" customHeight="1">
      <c r="A978" s="40"/>
      <c r="B978" s="40"/>
    </row>
    <row r="979" spans="1:2" ht="14.25" customHeight="1">
      <c r="A979" s="40"/>
      <c r="B979" s="40"/>
    </row>
    <row r="980" spans="1:2" ht="14.25" customHeight="1">
      <c r="A980" s="40"/>
      <c r="B980" s="40"/>
    </row>
    <row r="981" spans="1:2" ht="14.25" customHeight="1">
      <c r="A981" s="40"/>
      <c r="B981" s="40"/>
    </row>
    <row r="982" spans="1:2" ht="14.25" customHeight="1">
      <c r="A982" s="40"/>
      <c r="B982" s="40"/>
    </row>
    <row r="983" spans="1:2" ht="14.25" customHeight="1">
      <c r="A983" s="40"/>
      <c r="B983" s="40"/>
    </row>
    <row r="984" spans="1:2" ht="14.25" customHeight="1">
      <c r="A984" s="40"/>
      <c r="B984" s="40"/>
    </row>
    <row r="985" spans="1:2" ht="14.25" customHeight="1">
      <c r="A985" s="40"/>
      <c r="B985" s="40"/>
    </row>
    <row r="986" spans="1:2" ht="14.25" customHeight="1">
      <c r="A986" s="40"/>
      <c r="B986" s="40"/>
    </row>
    <row r="987" spans="1:2" ht="14.25" customHeight="1">
      <c r="A987" s="40"/>
      <c r="B987" s="40"/>
    </row>
    <row r="988" spans="1:2" ht="14.25" customHeight="1">
      <c r="A988" s="40"/>
      <c r="B988" s="40"/>
    </row>
    <row r="989" spans="1:2" ht="14.25" customHeight="1">
      <c r="A989" s="40"/>
      <c r="B989" s="40"/>
    </row>
    <row r="990" spans="1:2" ht="14.25" customHeight="1">
      <c r="A990" s="40"/>
      <c r="B990" s="40"/>
    </row>
    <row r="991" spans="1:2" ht="14.25" customHeight="1">
      <c r="A991" s="40"/>
      <c r="B991" s="40"/>
    </row>
    <row r="992" spans="1:2" ht="14.25" customHeight="1">
      <c r="A992" s="40"/>
      <c r="B992" s="40"/>
    </row>
    <row r="993" spans="1:2" ht="14.25" customHeight="1">
      <c r="A993" s="40"/>
      <c r="B993" s="40"/>
    </row>
    <row r="994" spans="1:2" ht="14.25" customHeight="1">
      <c r="A994" s="40"/>
      <c r="B994" s="40"/>
    </row>
    <row r="995" spans="1:2" ht="14.25" customHeight="1">
      <c r="A995" s="40"/>
      <c r="B995" s="40"/>
    </row>
    <row r="996" spans="1:2" ht="14.25" customHeight="1">
      <c r="A996" s="40"/>
      <c r="B996" s="40"/>
    </row>
    <row r="997" spans="1:2" ht="14.25" customHeight="1">
      <c r="A997" s="40"/>
      <c r="B997" s="40"/>
    </row>
    <row r="998" spans="1:2" ht="14.25" customHeight="1">
      <c r="A998" s="40"/>
      <c r="B998" s="40"/>
    </row>
    <row r="999" spans="1:2" ht="14.25" customHeight="1">
      <c r="A999" s="40"/>
      <c r="B999" s="40"/>
    </row>
    <row r="1000" spans="1:2" ht="14.25" customHeight="1">
      <c r="A1000" s="40"/>
      <c r="B1000" s="40"/>
    </row>
  </sheetData>
  <mergeCells count="61">
    <mergeCell ref="F11:G11"/>
    <mergeCell ref="C18:D18"/>
    <mergeCell ref="F23:G23"/>
    <mergeCell ref="F24:G24"/>
    <mergeCell ref="C19:D19"/>
    <mergeCell ref="C20:D20"/>
    <mergeCell ref="B21:G21"/>
    <mergeCell ref="C22:D22"/>
    <mergeCell ref="F22:G22"/>
    <mergeCell ref="C23:D23"/>
    <mergeCell ref="C24:D24"/>
    <mergeCell ref="F18:G18"/>
    <mergeCell ref="F19:G19"/>
    <mergeCell ref="F20:G20"/>
    <mergeCell ref="F12:G12"/>
    <mergeCell ref="C12:D12"/>
    <mergeCell ref="C13:D13"/>
    <mergeCell ref="C14:D14"/>
    <mergeCell ref="C15:D15"/>
    <mergeCell ref="C16:D16"/>
    <mergeCell ref="C17:D17"/>
    <mergeCell ref="F13:G13"/>
    <mergeCell ref="F14:G14"/>
    <mergeCell ref="F15:G15"/>
    <mergeCell ref="F16:G16"/>
    <mergeCell ref="F17:G17"/>
    <mergeCell ref="K7:M8"/>
    <mergeCell ref="L10:O10"/>
    <mergeCell ref="L11:M11"/>
    <mergeCell ref="N11:O11"/>
    <mergeCell ref="A1:H1"/>
    <mergeCell ref="M3:O3"/>
    <mergeCell ref="M4:O4"/>
    <mergeCell ref="M5:O5"/>
    <mergeCell ref="J7:J8"/>
    <mergeCell ref="A8:A9"/>
    <mergeCell ref="H8:H9"/>
    <mergeCell ref="B8:D9"/>
    <mergeCell ref="E8:G8"/>
    <mergeCell ref="F9:G9"/>
    <mergeCell ref="B10:G10"/>
    <mergeCell ref="C11:D11"/>
    <mergeCell ref="B25:D25"/>
    <mergeCell ref="F25:G25"/>
    <mergeCell ref="A26:H26"/>
    <mergeCell ref="A28:E30"/>
    <mergeCell ref="F28:G28"/>
    <mergeCell ref="F29:G29"/>
    <mergeCell ref="F30:G30"/>
    <mergeCell ref="F33:G33"/>
    <mergeCell ref="F34:G34"/>
    <mergeCell ref="B36:H36"/>
    <mergeCell ref="C46:D46"/>
    <mergeCell ref="G46:H46"/>
    <mergeCell ref="A32:E34"/>
    <mergeCell ref="A38:C38"/>
    <mergeCell ref="A39:C39"/>
    <mergeCell ref="C41:F41"/>
    <mergeCell ref="C42:D42"/>
    <mergeCell ref="G42:H42"/>
    <mergeCell ref="F32:G32"/>
  </mergeCells>
  <hyperlinks>
    <hyperlink ref="M4" r:id="rId1"/>
  </hyperlinks>
  <printOptions horizontalCentered="1"/>
  <pageMargins left="0.70866141732283472" right="0.70866141732283472" top="0.74803149606299213" bottom="0.74803149606299213" header="0" footer="0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impanPDFMasalSatuFile">
                <anchor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447675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CetakRaportMasal">
                <anchor>
                  <from>
                    <xdr:col>9</xdr:col>
                    <xdr:colOff>0</xdr:colOff>
                    <xdr:row>3</xdr:row>
                    <xdr:rowOff>19050</xdr:rowOff>
                  </from>
                  <to>
                    <xdr:col>11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Spinner 6">
              <controlPr defaultSize="0" autoPict="0">
                <anchor moveWithCells="1" sizeWithCells="1">
                  <from>
                    <xdr:col>9</xdr:col>
                    <xdr:colOff>38100</xdr:colOff>
                    <xdr:row>8</xdr:row>
                    <xdr:rowOff>28575</xdr:rowOff>
                  </from>
                  <to>
                    <xdr:col>9</xdr:col>
                    <xdr:colOff>590550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7"/>
  <dimension ref="A1:O1000"/>
  <sheetViews>
    <sheetView workbookViewId="0">
      <selection activeCell="F11" sqref="F11:G11"/>
    </sheetView>
  </sheetViews>
  <sheetFormatPr defaultColWidth="14.42578125" defaultRowHeight="15" customHeight="1"/>
  <cols>
    <col min="1" max="2" width="4" customWidth="1"/>
    <col min="3" max="3" width="5.85546875" customWidth="1"/>
    <col min="4" max="4" width="10.5703125" customWidth="1"/>
    <col min="5" max="5" width="9" customWidth="1"/>
    <col min="6" max="6" width="21.42578125" customWidth="1"/>
    <col min="7" max="7" width="19" customWidth="1"/>
    <col min="8" max="8" width="12.85546875" customWidth="1"/>
    <col min="9" max="12" width="8.7109375" customWidth="1"/>
    <col min="13" max="13" width="14" customWidth="1"/>
    <col min="14" max="26" width="8.7109375" customWidth="1"/>
  </cols>
  <sheetData>
    <row r="1" spans="1:15" ht="14.25" customHeight="1">
      <c r="A1" s="152" t="s">
        <v>170</v>
      </c>
      <c r="B1" s="117"/>
      <c r="C1" s="117"/>
      <c r="D1" s="117"/>
      <c r="E1" s="117"/>
      <c r="F1" s="117"/>
      <c r="G1" s="117"/>
      <c r="H1" s="117"/>
    </row>
    <row r="2" spans="1:15" ht="14.25" customHeight="1">
      <c r="A2" s="40"/>
      <c r="B2" s="40"/>
    </row>
    <row r="3" spans="1:15" ht="14.25" customHeight="1">
      <c r="A3" s="41" t="s">
        <v>171</v>
      </c>
      <c r="B3" s="41"/>
      <c r="D3" s="22" t="str">
        <f>": "&amp;IDENTITAS!C2</f>
        <v>: ARRODLIYAH</v>
      </c>
      <c r="G3" s="22" t="s">
        <v>172</v>
      </c>
      <c r="H3" s="22" t="str">
        <f>": "&amp;IDENTITAS!C10</f>
        <v>: I (SATU)</v>
      </c>
      <c r="M3" s="153" t="s">
        <v>6</v>
      </c>
      <c r="N3" s="154"/>
      <c r="O3" s="112"/>
    </row>
    <row r="4" spans="1:15" ht="14.25" customHeight="1">
      <c r="A4" s="41" t="s">
        <v>173</v>
      </c>
      <c r="B4" s="41"/>
      <c r="D4" s="22" t="str">
        <f>": "&amp;IDENTITAS!C5</f>
        <v>: DUKUHTURI</v>
      </c>
      <c r="G4" s="22" t="s">
        <v>174</v>
      </c>
      <c r="H4" s="22" t="s">
        <v>232</v>
      </c>
      <c r="M4" s="155" t="s">
        <v>10</v>
      </c>
      <c r="N4" s="156"/>
      <c r="O4" s="114"/>
    </row>
    <row r="5" spans="1:15" ht="14.25" customHeight="1">
      <c r="A5" s="41" t="s">
        <v>176</v>
      </c>
      <c r="B5" s="41"/>
      <c r="D5" s="22" t="str">
        <f>IF(ISBLANK(J7),"",": "&amp;IFERROR(VLOOKUP(J7,Nilai,3,FALSE),""))</f>
        <v>: SANTRI 3</v>
      </c>
      <c r="G5" s="22" t="s">
        <v>177</v>
      </c>
      <c r="H5" s="22" t="str">
        <f>": "&amp;IDENTITAS!C11</f>
        <v>: 1446 / 1447</v>
      </c>
      <c r="M5" s="157" t="s">
        <v>14</v>
      </c>
      <c r="N5" s="156"/>
      <c r="O5" s="114"/>
    </row>
    <row r="6" spans="1:15" ht="14.25" customHeight="1">
      <c r="A6" s="41" t="s">
        <v>178</v>
      </c>
      <c r="B6" s="41"/>
      <c r="D6" s="22" t="str">
        <f>IF(ISBLANK(J7),"",": "&amp;IFERROR(VLOOKUP(J7,Nilai,2,FALSE),""))</f>
        <v>: 2347</v>
      </c>
      <c r="H6" s="22" t="str">
        <f>"  "&amp;IDENTITAS!C12</f>
        <v xml:space="preserve">  2025 / 2026</v>
      </c>
    </row>
    <row r="7" spans="1:15" ht="14.25" customHeight="1">
      <c r="A7" s="40"/>
      <c r="B7" s="40"/>
      <c r="J7" s="158">
        <v>3</v>
      </c>
      <c r="K7" s="149" t="s">
        <v>110</v>
      </c>
      <c r="L7" s="117"/>
      <c r="M7" s="117"/>
    </row>
    <row r="8" spans="1:15" ht="14.25" customHeight="1">
      <c r="A8" s="159" t="s">
        <v>179</v>
      </c>
      <c r="B8" s="161" t="s">
        <v>180</v>
      </c>
      <c r="C8" s="140"/>
      <c r="D8" s="141"/>
      <c r="E8" s="162" t="s">
        <v>181</v>
      </c>
      <c r="F8" s="105"/>
      <c r="G8" s="99"/>
      <c r="H8" s="160" t="s">
        <v>182</v>
      </c>
      <c r="J8" s="129"/>
      <c r="K8" s="117"/>
      <c r="L8" s="117"/>
      <c r="M8" s="117"/>
    </row>
    <row r="9" spans="1:15" ht="14.25" customHeight="1">
      <c r="A9" s="103"/>
      <c r="B9" s="144"/>
      <c r="C9" s="136"/>
      <c r="D9" s="137"/>
      <c r="E9" s="42" t="s">
        <v>183</v>
      </c>
      <c r="F9" s="162" t="s">
        <v>184</v>
      </c>
      <c r="G9" s="99"/>
      <c r="H9" s="103"/>
    </row>
    <row r="10" spans="1:15" ht="14.25" customHeight="1">
      <c r="A10" s="43">
        <v>1</v>
      </c>
      <c r="B10" s="163" t="s">
        <v>185</v>
      </c>
      <c r="C10" s="105"/>
      <c r="D10" s="105"/>
      <c r="E10" s="105"/>
      <c r="F10" s="105"/>
      <c r="G10" s="99"/>
      <c r="H10" s="2"/>
      <c r="L10" s="150" t="s">
        <v>186</v>
      </c>
      <c r="M10" s="117"/>
      <c r="N10" s="117"/>
      <c r="O10" s="117"/>
    </row>
    <row r="11" spans="1:15" ht="14.25" customHeight="1">
      <c r="A11" s="43"/>
      <c r="B11" s="44" t="s">
        <v>187</v>
      </c>
      <c r="C11" s="164" t="str">
        <f>IF(OR(IDENTITAS!F2="",IDENTITAS!F2=0),"",IDENTITAS!F2)</f>
        <v>AL QUR'AN</v>
      </c>
      <c r="D11" s="99"/>
      <c r="E11" s="17">
        <f>IF(ISBLANK(J7),"",IFERROR(IF(VLOOKUP(J7,Nilai,4,FALSE)="","",VLOOKUP(J7,Nilai,4,FALSE)),""))</f>
        <v>67</v>
      </c>
      <c r="F11" s="134" t="str">
        <f t="shared" ref="F11:F20" si="0">IF(OR(E11="",E11=0),"",IF(E11=100,"Seratus",VLOOKUP(LEFT(E11,1)*1,Puluhan,2)&amp;" "&amp;VLOOKUP(MID(E11,2,1)*1,Satuan,2)))</f>
        <v>Enam puluh tujuh</v>
      </c>
      <c r="G11" s="99"/>
      <c r="H11" s="46">
        <f>IF(OR(E11="",E11=0),"",NILAI!D106)</f>
        <v>78.8</v>
      </c>
      <c r="L11" s="151" t="s">
        <v>188</v>
      </c>
      <c r="M11" s="105"/>
      <c r="N11" s="151" t="s">
        <v>189</v>
      </c>
      <c r="O11" s="99"/>
    </row>
    <row r="12" spans="1:15" ht="14.25" customHeight="1">
      <c r="A12" s="43"/>
      <c r="B12" s="44" t="s">
        <v>190</v>
      </c>
      <c r="C12" s="164" t="str">
        <f>IF(OR(IDENTITAS!F3="",IDENTITAS!F3=0),"",IDENTITAS!F3)</f>
        <v>AL HADITS</v>
      </c>
      <c r="D12" s="99"/>
      <c r="E12" s="17">
        <f>IF(ISBLANK(J7),"",IFERROR(IF(VLOOKUP(J7,Nilai,5,FALSE)="","",VLOOKUP(J7,Nilai,5,FALSE)),""))</f>
        <v>80</v>
      </c>
      <c r="F12" s="134" t="str">
        <f t="shared" si="0"/>
        <v xml:space="preserve">Delapan puluh </v>
      </c>
      <c r="G12" s="99"/>
      <c r="H12" s="46">
        <f>IF(OR(E12="",E12=0),"",NILAI!E106)</f>
        <v>79.400000000000006</v>
      </c>
      <c r="L12" s="2">
        <v>0</v>
      </c>
      <c r="M12" s="45"/>
      <c r="N12" s="2">
        <v>0</v>
      </c>
      <c r="O12" s="2"/>
    </row>
    <row r="13" spans="1:15" ht="14.25" customHeight="1">
      <c r="A13" s="43"/>
      <c r="B13" s="44" t="s">
        <v>191</v>
      </c>
      <c r="C13" s="164" t="str">
        <f>IF(OR(IDENTITAS!F4="",IDENTITAS!F4=0),"",IDENTITAS!F4)</f>
        <v>AQIDAH</v>
      </c>
      <c r="D13" s="99"/>
      <c r="E13" s="17">
        <f>IF(ISBLANK(J7),"",IFERROR(IF(VLOOKUP(J7,Nilai,6,FALSE)="","",VLOOKUP(J7,Nilai,6,FALSE)),""))</f>
        <v>74</v>
      </c>
      <c r="F13" s="134" t="str">
        <f t="shared" si="0"/>
        <v>Tujuh puluh empat</v>
      </c>
      <c r="G13" s="99"/>
      <c r="H13" s="46">
        <f>IF(OR(E13="",E13=0),"",NILAI!F106)</f>
        <v>77.400000000000006</v>
      </c>
      <c r="L13" s="2">
        <v>1</v>
      </c>
      <c r="M13" s="45"/>
      <c r="N13" s="2">
        <v>1</v>
      </c>
      <c r="O13" s="2" t="s">
        <v>192</v>
      </c>
    </row>
    <row r="14" spans="1:15" ht="14.25" customHeight="1">
      <c r="A14" s="43"/>
      <c r="B14" s="44" t="s">
        <v>193</v>
      </c>
      <c r="C14" s="164" t="str">
        <f>IF(OR(IDENTITAS!F5="",IDENTITAS!F5=0),"",IDENTITAS!F5)</f>
        <v>AKHLAQ</v>
      </c>
      <c r="D14" s="99"/>
      <c r="E14" s="17">
        <f>IF(ISBLANK(J7),"",IFERROR(IF(VLOOKUP(J7,Nilai,7,FALSE)="","",VLOOKUP(J7,Nilai,7,FALSE)),""))</f>
        <v>85</v>
      </c>
      <c r="F14" s="134" t="str">
        <f t="shared" si="0"/>
        <v>Delapan puluh lima</v>
      </c>
      <c r="G14" s="99"/>
      <c r="H14" s="46">
        <f>IF(OR(E14="",E14=0),"",NILAI!G106)</f>
        <v>87.6</v>
      </c>
      <c r="L14" s="2">
        <v>2</v>
      </c>
      <c r="M14" s="45" t="s">
        <v>194</v>
      </c>
      <c r="N14" s="2">
        <v>2</v>
      </c>
      <c r="O14" s="2" t="s">
        <v>195</v>
      </c>
    </row>
    <row r="15" spans="1:15" ht="14.25" customHeight="1">
      <c r="A15" s="43"/>
      <c r="B15" s="44" t="s">
        <v>196</v>
      </c>
      <c r="C15" s="164" t="str">
        <f>IF(OR(IDENTITAS!F6="",IDENTITAS!F6=0),"",IDENTITAS!F6)</f>
        <v>FIQIH</v>
      </c>
      <c r="D15" s="99"/>
      <c r="E15" s="17">
        <f>IF(ISBLANK(J7),"",IFERROR(IF(VLOOKUP(J7,Nilai,8,FALSE)="","",VLOOKUP(J7,Nilai,8,FALSE)),""))</f>
        <v>78</v>
      </c>
      <c r="F15" s="134" t="str">
        <f t="shared" si="0"/>
        <v>Tujuh puluh delapan</v>
      </c>
      <c r="G15" s="99"/>
      <c r="H15" s="46">
        <f>IF(OR(E15="",E15=0),"",NILAI!H106)</f>
        <v>80</v>
      </c>
      <c r="L15" s="2">
        <v>3</v>
      </c>
      <c r="M15" s="45" t="s">
        <v>197</v>
      </c>
      <c r="N15" s="2">
        <v>3</v>
      </c>
      <c r="O15" s="2" t="s">
        <v>198</v>
      </c>
    </row>
    <row r="16" spans="1:15" ht="14.25" customHeight="1">
      <c r="A16" s="43"/>
      <c r="B16" s="44" t="s">
        <v>199</v>
      </c>
      <c r="C16" s="164" t="str">
        <f>IF(OR(IDENTITAS!F7="",IDENTITAS!F7=0),"",IDENTITAS!F7)</f>
        <v>TARIKH ISLAM</v>
      </c>
      <c r="D16" s="99"/>
      <c r="E16" s="17">
        <f>IF(ISBLANK(J7),"",IFERROR(IF(VLOOKUP(J7,Nilai,9,FALSE)="","",VLOOKUP(J7,Nilai,9,FALSE)),""))</f>
        <v>81</v>
      </c>
      <c r="F16" s="134" t="str">
        <f t="shared" si="0"/>
        <v>Delapan puluh satu</v>
      </c>
      <c r="G16" s="99"/>
      <c r="H16" s="46">
        <f>IF(OR(E16="",E16=0),"",NILAI!I106)</f>
        <v>81.599999999999994</v>
      </c>
      <c r="L16" s="2">
        <v>4</v>
      </c>
      <c r="M16" s="45" t="s">
        <v>200</v>
      </c>
      <c r="N16" s="2">
        <v>4</v>
      </c>
      <c r="O16" s="2" t="s">
        <v>201</v>
      </c>
    </row>
    <row r="17" spans="1:15" ht="14.25" customHeight="1">
      <c r="A17" s="43"/>
      <c r="B17" s="44" t="s">
        <v>202</v>
      </c>
      <c r="C17" s="164" t="str">
        <f>IF(OR(IDENTITAS!F8="",IDENTITAS!F8=0),"",IDENTITAS!F8)</f>
        <v>BAHASA ARAB</v>
      </c>
      <c r="D17" s="99"/>
      <c r="E17" s="17">
        <f>IF(ISBLANK(J7),"",IFERROR(IF(VLOOKUP(J7,Nilai,10,FALSE)="","",VLOOKUP(J7,Nilai,10,FALSE)),""))</f>
        <v>80</v>
      </c>
      <c r="F17" s="134" t="str">
        <f t="shared" si="0"/>
        <v xml:space="preserve">Delapan puluh </v>
      </c>
      <c r="G17" s="99"/>
      <c r="H17" s="46">
        <f>IF(OR(E17="",E17=0),"",NILAI!J106)</f>
        <v>83.4</v>
      </c>
      <c r="L17" s="2">
        <v>5</v>
      </c>
      <c r="M17" s="45" t="s">
        <v>203</v>
      </c>
      <c r="N17" s="2">
        <v>5</v>
      </c>
      <c r="O17" s="2" t="s">
        <v>204</v>
      </c>
    </row>
    <row r="18" spans="1:15" ht="14.25" customHeight="1">
      <c r="A18" s="43"/>
      <c r="B18" s="44" t="s">
        <v>205</v>
      </c>
      <c r="C18" s="164" t="str">
        <f>IF(OR(IDENTITAS!F9="",IDENTITAS!F9=0),"",IDENTITAS!F9)</f>
        <v>NAHWU</v>
      </c>
      <c r="D18" s="99"/>
      <c r="E18" s="17">
        <f>IF(ISBLANK(J7),"",IFERROR(IF(VLOOKUP(J7,Nilai,11,FALSE)="","",VLOOKUP(J7,Nilai,11,FALSE)),""))</f>
        <v>79</v>
      </c>
      <c r="F18" s="134" t="str">
        <f t="shared" si="0"/>
        <v>Tujuh puluh sembilan</v>
      </c>
      <c r="G18" s="99"/>
      <c r="H18" s="46">
        <f>IF(OR(E18="",E18=0),"",NILAI!K106)</f>
        <v>79.400000000000006</v>
      </c>
      <c r="L18" s="2">
        <v>6</v>
      </c>
      <c r="M18" s="45" t="s">
        <v>206</v>
      </c>
      <c r="N18" s="2">
        <v>6</v>
      </c>
      <c r="O18" s="2" t="s">
        <v>207</v>
      </c>
    </row>
    <row r="19" spans="1:15" ht="14.25" customHeight="1">
      <c r="A19" s="43"/>
      <c r="B19" s="44" t="s">
        <v>208</v>
      </c>
      <c r="C19" s="164" t="str">
        <f>IF(OR(IDENTITAS!F10="",IDENTITAS!F10=0),"",IDENTITAS!F10)</f>
        <v>SHARAF</v>
      </c>
      <c r="D19" s="99"/>
      <c r="E19" s="17">
        <f>IF(ISBLANK(J7),"",IFERROR(IF(VLOOKUP(J7,Nilai,12,FALSE)="","",VLOOKUP(J7,Nilai,12,FALSE)),""))</f>
        <v>77</v>
      </c>
      <c r="F19" s="134" t="str">
        <f t="shared" si="0"/>
        <v>Tujuh puluh tujuh</v>
      </c>
      <c r="G19" s="99"/>
      <c r="H19" s="46">
        <f>IF(OR(E19="",E19=0),"",NILAI!L106)</f>
        <v>77</v>
      </c>
      <c r="L19" s="2">
        <v>7</v>
      </c>
      <c r="M19" s="45" t="s">
        <v>209</v>
      </c>
      <c r="N19" s="2">
        <v>7</v>
      </c>
      <c r="O19" s="2" t="s">
        <v>210</v>
      </c>
    </row>
    <row r="20" spans="1:15" ht="14.25" customHeight="1">
      <c r="A20" s="43"/>
      <c r="B20" s="44" t="s">
        <v>211</v>
      </c>
      <c r="C20" s="164" t="str">
        <f>IF(OR(IDENTITAS!F11="",IDENTITAS!F11=0),"",IDENTITAS!F11)</f>
        <v/>
      </c>
      <c r="D20" s="99"/>
      <c r="E20" s="17" t="str">
        <f>IF(ISBLANK(J7),"",IFERROR(IF(VLOOKUP(J7,Nilai,13,FALSE)="","",VLOOKUP(J7,Nilai,13,FALSE)),""))</f>
        <v/>
      </c>
      <c r="F20" s="134" t="str">
        <f t="shared" si="0"/>
        <v/>
      </c>
      <c r="G20" s="99"/>
      <c r="H20" s="46" t="str">
        <f>IF(OR(E20="",E20=0),"",NILAI!M106)</f>
        <v/>
      </c>
      <c r="L20" s="47">
        <v>8</v>
      </c>
      <c r="M20" s="48" t="s">
        <v>212</v>
      </c>
      <c r="N20" s="47">
        <v>8</v>
      </c>
      <c r="O20" s="47" t="s">
        <v>213</v>
      </c>
    </row>
    <row r="21" spans="1:15" ht="14.25" customHeight="1">
      <c r="A21" s="43">
        <v>2</v>
      </c>
      <c r="B21" s="163" t="s">
        <v>214</v>
      </c>
      <c r="C21" s="105"/>
      <c r="D21" s="105"/>
      <c r="E21" s="105"/>
      <c r="F21" s="105"/>
      <c r="G21" s="99"/>
      <c r="H21" s="49"/>
      <c r="L21" s="2">
        <v>9</v>
      </c>
      <c r="M21" s="2" t="s">
        <v>215</v>
      </c>
      <c r="N21" s="2">
        <v>9</v>
      </c>
      <c r="O21" s="2" t="s">
        <v>216</v>
      </c>
    </row>
    <row r="22" spans="1:15" ht="14.25" customHeight="1">
      <c r="A22" s="43"/>
      <c r="B22" s="44" t="s">
        <v>187</v>
      </c>
      <c r="C22" s="164" t="str">
        <f>IF(OR(IDENTITAS!F12="",IDENTITAS!F12=0),"",IDENTITAS!F12)</f>
        <v>PRAKTIK IBADAH</v>
      </c>
      <c r="D22" s="99"/>
      <c r="E22" s="17">
        <f>IF(ISBLANK(J7),"",IFERROR(IF(VLOOKUP(J7,Nilai,14,FALSE)="","",VLOOKUP(J7,Nilai,14,FALSE)),""))</f>
        <v>80</v>
      </c>
      <c r="F22" s="134" t="str">
        <f>IF(OR(E22="",E22=0),"",IF(E22=100,"Seratus",VLOOKUP(LEFT(E22,1)*1,Puluhan,2)&amp;" "&amp;VLOOKUP(MID(E22,2,1)*1,Satuan,2)))</f>
        <v xml:space="preserve">Delapan puluh </v>
      </c>
      <c r="G22" s="99"/>
      <c r="H22" s="46">
        <f>IF(OR(E22="",E22=0),"",NILAI!N106)</f>
        <v>82</v>
      </c>
      <c r="L22" s="4"/>
      <c r="M22" s="4"/>
      <c r="N22" s="4"/>
      <c r="O22" s="4"/>
    </row>
    <row r="23" spans="1:15" ht="14.25" customHeight="1">
      <c r="A23" s="43"/>
      <c r="B23" s="44" t="s">
        <v>190</v>
      </c>
      <c r="C23" s="164" t="str">
        <f>IF(OR(IDENTITAS!F13="",IDENTITAS!F13=0),"",IDENTITAS!F13)</f>
        <v>BTQ</v>
      </c>
      <c r="D23" s="99"/>
      <c r="E23" s="17">
        <f>IF(ISBLANK(J7),"",IFERROR(IF(VLOOKUP(J7,Nilai,15,FALSE)="","",VLOOKUP(J7,Nilai,15,FALSE)),""))</f>
        <v>75</v>
      </c>
      <c r="F23" s="134" t="str">
        <f>IF(OR(E23="",E23=0),"",IF(E23=100,"Seratus",VLOOKUP(LEFT(E23,1)*1,Puluhan,2)&amp;" "&amp;VLOOKUP(MID(E23,2,1)*1,Satuan,2)))</f>
        <v>Tujuh puluh lima</v>
      </c>
      <c r="G23" s="99"/>
      <c r="H23" s="46">
        <f>IF(OR(E23="",E23=0),"",NILAI!O106)</f>
        <v>75.2</v>
      </c>
      <c r="L23" s="4"/>
      <c r="M23" s="4"/>
      <c r="N23" s="4"/>
      <c r="O23" s="4"/>
    </row>
    <row r="24" spans="1:15" ht="14.25" customHeight="1">
      <c r="A24" s="43"/>
      <c r="B24" s="44" t="s">
        <v>191</v>
      </c>
      <c r="C24" s="164" t="str">
        <f>IF(OR(IDENTITAS!F14="",IDENTITAS!F14=0),"",IDENTITAS!F14)</f>
        <v>Ke-NU-an</v>
      </c>
      <c r="D24" s="99"/>
      <c r="E24" s="17">
        <f>IF(ISBLANK(J7),"",IFERROR(IF(VLOOKUP(J7,Nilai,16,FALSE)="","",VLOOKUP(J7,Nilai,16,FALSE)),""))</f>
        <v>85</v>
      </c>
      <c r="F24" s="134" t="str">
        <f>IF(OR(E24="",E24=0),"",IF(E24=100,"Seratus",VLOOKUP(LEFT(E24,1)*1,Puluhan,2)&amp;" "&amp;VLOOKUP(MID(E24,2,1)*1,Satuan,2)))</f>
        <v>Delapan puluh lima</v>
      </c>
      <c r="G24" s="99"/>
      <c r="H24" s="46">
        <f>IF(OR(E24="",E24=0),"",NILAI!P106)</f>
        <v>75.400000000000006</v>
      </c>
      <c r="L24" s="22" t="s">
        <v>150</v>
      </c>
      <c r="M24" s="4"/>
      <c r="N24" s="4"/>
      <c r="O24" s="4"/>
    </row>
    <row r="25" spans="1:15" ht="14.25" customHeight="1">
      <c r="A25" s="43"/>
      <c r="B25" s="147" t="s">
        <v>105</v>
      </c>
      <c r="C25" s="105"/>
      <c r="D25" s="99"/>
      <c r="E25" s="50">
        <f>IF(ISBLANK(J7),"",IFERROR(VLOOKUP(J7,Nilai,17,FALSE),""))</f>
        <v>941</v>
      </c>
      <c r="F25" s="134" t="str">
        <f>REPLACE(LOWER(L25),1,1,UPPER(LEFT(L25,1)))</f>
        <v>Sembilan ratus empat puluh satu</v>
      </c>
      <c r="G25" s="99"/>
      <c r="H25" s="46">
        <f>IF(H11="","",SUM(H11:H24))</f>
        <v>957.19999999999993</v>
      </c>
      <c r="L25" s="51" t="str">
        <f>(IF(E25="","",IF(E25=0,"nol",IF(E25&lt;0,"minus ","")&amp;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IF(--MID(TEXT(ABS(E25),"000000000000000"),1,3)=0,"",MID(TEXT(ABS(E25),"000000000000000"),1,1)&amp;" ratus "&amp;MID(TEXT(ABS(E25),"000000000000000"),2,1)&amp;" puluh "&amp;MID(TEXT(ABS(E25),"000000000000000"),3,1)&amp;" trilyun ")&amp;IF(--MID(TEXT(ABS(E25),"000000000000000"),4,3)=0,"",MID(TEXT(ABS(E25),"000000000000000"),4,1)&amp;" ratus "&amp;MID(TEXT(ABS(E25),"000000000000000"),5,1)&amp;" puluh "&amp;MID(TEXT(ABS(E25),"000000000000000"),6,1)&amp;" milyar ")&amp;IF(--MID(TEXT(ABS(E25),"000000000000000"),7,3)=0,"",MID(TEXT(ABS(E25),"000000000000000"),7,1)&amp;" ratus "&amp;MID(TEXT(ABS(E25),"000000000000000"),8,1)&amp;" puluh "&amp;MID(TEXT(ABS(E25),"000000000000000"),9,1)&amp;" juta ")&amp;IF(--MID(TEXT(ABS(E25),"000000000000000"),10,3)=0,"",IF(--MID(TEXT(ABS(E25),"000000000000000"),10,3)=1,"*",MID(TEXT(ABS(E25),"000000000000000"),10,1)&amp;" ratus "&amp;MID(TEXT(ABS(E25),"000000000000000"),11,1)&amp;" puluh ")&amp;MID(TEXT(ABS(E25),"000000000000000"),12,1)&amp;" ribu ")&amp;IF(--MID(TEXT(ABS(E25),"000000000000000"),13,3)=0,"",MID(TEXT(ABS(E25),"000000000000000"),13,1)&amp;" ratus "&amp;MID(TEXT(ABS(E25),"000000000000000"),14,1)&amp;" puluh "&amp;MID(TEXT(ABS(E25),"000000000000000"),15,1)),1,"satu"),2,"dua"),3,"tiga"),4,"empat"),5,"lima"),6,"enam"),7,"tujuh"),8,"delapan"),9,"sembilan"),"0 ratus",""),"0 puluh",""),"satu puluh 0","sepuluh"),"satu puluh satu","sebelas"),"satu puluh dua","dua belas"),"satu puluh tiga","tiga belas"),"satu puluh empat","empat belas"),"satu puluh lima","lima belas"),"satu puluh enam","enam belas"),"satu puluh tujuh","tujuh belas"),"satu puluh delapan","delapan belas"),"satu puluh sembilan","sembilan belas"),"satu ratus","seratus"),"*satu ribu","seribu"),0,""))," "," "))))</f>
        <v>sembilan ratus empat puluh satu</v>
      </c>
      <c r="M25" s="51"/>
      <c r="N25" s="51"/>
      <c r="O25" s="52"/>
    </row>
    <row r="26" spans="1:15" ht="16.5" customHeight="1">
      <c r="A26" s="148" t="str">
        <f>IF(ISBLANK(J7),"","Pringkat Kelas ke "&amp;IFERROR(VLOOKUP(J7,Nilai,19,FALSE),"")&amp;" dari "&amp;IDENTITAS!B124&amp;" santri")</f>
        <v>Pringkat Kelas ke 4 dari 5 santri</v>
      </c>
      <c r="B26" s="105"/>
      <c r="C26" s="105"/>
      <c r="D26" s="105"/>
      <c r="E26" s="105"/>
      <c r="F26" s="105"/>
      <c r="G26" s="105"/>
      <c r="H26" s="99"/>
      <c r="I26" s="24"/>
    </row>
    <row r="27" spans="1:15" ht="9" customHeight="1">
      <c r="A27" s="40"/>
      <c r="B27" s="40"/>
    </row>
    <row r="28" spans="1:15" ht="14.25" customHeight="1">
      <c r="A28" s="139" t="s">
        <v>217</v>
      </c>
      <c r="B28" s="140"/>
      <c r="C28" s="140"/>
      <c r="D28" s="140"/>
      <c r="E28" s="141"/>
      <c r="F28" s="134" t="s">
        <v>218</v>
      </c>
      <c r="G28" s="99"/>
      <c r="H28" s="17" t="str">
        <f>IF(ISBLANK(J7),"",IFERROR(VLOOKUP(J7,Kepribadian,4,FALSE),""))</f>
        <v>B</v>
      </c>
    </row>
    <row r="29" spans="1:15" ht="14.25" customHeight="1">
      <c r="A29" s="142"/>
      <c r="B29" s="117"/>
      <c r="C29" s="117"/>
      <c r="D29" s="117"/>
      <c r="E29" s="143"/>
      <c r="F29" s="134" t="s">
        <v>219</v>
      </c>
      <c r="G29" s="99"/>
      <c r="H29" s="17" t="str">
        <f>IF(ISBLANK(J7),"",IFERROR(VLOOKUP(J7,Kepribadian,5,FALSE),""))</f>
        <v>B</v>
      </c>
    </row>
    <row r="30" spans="1:15" ht="14.25" customHeight="1">
      <c r="A30" s="144"/>
      <c r="B30" s="136"/>
      <c r="C30" s="136"/>
      <c r="D30" s="136"/>
      <c r="E30" s="137"/>
      <c r="F30" s="134" t="s">
        <v>220</v>
      </c>
      <c r="G30" s="99"/>
      <c r="H30" s="17" t="str">
        <f>IF(ISBLANK(J7),"",IFERROR(VLOOKUP(J7,Kepribadian,6,FALSE),""))</f>
        <v>B</v>
      </c>
    </row>
    <row r="31" spans="1:15" ht="8.25" customHeight="1">
      <c r="A31" s="40"/>
      <c r="B31" s="40"/>
    </row>
    <row r="32" spans="1:15" ht="14.25" customHeight="1">
      <c r="A32" s="139" t="s">
        <v>221</v>
      </c>
      <c r="B32" s="140"/>
      <c r="C32" s="140"/>
      <c r="D32" s="140"/>
      <c r="E32" s="141"/>
      <c r="F32" s="134" t="s">
        <v>222</v>
      </c>
      <c r="G32" s="99"/>
      <c r="H32" s="17" t="str">
        <f>IF(ISBLANK(J7),"",IFERROR(VLOOKUP(J7,Kepribadian,7,FALSE),"")&amp;" hari")</f>
        <v>0 hari</v>
      </c>
    </row>
    <row r="33" spans="1:11" ht="14.25" customHeight="1">
      <c r="A33" s="142"/>
      <c r="B33" s="117"/>
      <c r="C33" s="117"/>
      <c r="D33" s="117"/>
      <c r="E33" s="143"/>
      <c r="F33" s="134" t="s">
        <v>223</v>
      </c>
      <c r="G33" s="99"/>
      <c r="H33" s="17" t="str">
        <f>IF(ISBLANK(J7),"",IFERROR(VLOOKUP(J7,Kepribadian,8,FALSE),"")&amp;" hari")</f>
        <v>0 hari</v>
      </c>
    </row>
    <row r="34" spans="1:11" ht="14.25" customHeight="1">
      <c r="A34" s="144"/>
      <c r="B34" s="136"/>
      <c r="C34" s="136"/>
      <c r="D34" s="136"/>
      <c r="E34" s="137"/>
      <c r="F34" s="134" t="s">
        <v>224</v>
      </c>
      <c r="G34" s="99"/>
      <c r="H34" s="17" t="str">
        <f>IF(ISBLANK(J7),"",IFERROR(VLOOKUP(J7,Kepribadian,9,FALSE),"")&amp;" hari")</f>
        <v>0 hari</v>
      </c>
    </row>
    <row r="35" spans="1:11" ht="14.25" customHeight="1">
      <c r="A35" s="53"/>
      <c r="B35" s="54" t="s">
        <v>225</v>
      </c>
      <c r="C35" s="54"/>
      <c r="D35" s="54"/>
      <c r="E35" s="54"/>
      <c r="F35" s="54"/>
      <c r="G35" s="54"/>
      <c r="H35" s="55"/>
    </row>
    <row r="36" spans="1:11" ht="25.5" customHeight="1">
      <c r="A36" s="56"/>
      <c r="B36" s="135" t="str">
        <f>IF(ISBLANK(J7),"",IFERROR(VLOOKUP(J7,Kepribadian,11,FALSE),""))</f>
        <v>Ilmu adalah cahaya, dan cahaya Allah tidak diberikan kepada orang yang malas. Teruslah belajar dengan tekun, semoga Allah memberkahimu.</v>
      </c>
      <c r="C36" s="136"/>
      <c r="D36" s="136"/>
      <c r="E36" s="136"/>
      <c r="F36" s="136"/>
      <c r="G36" s="136"/>
      <c r="H36" s="137"/>
    </row>
    <row r="37" spans="1:11" ht="14.25" customHeight="1">
      <c r="A37" s="40"/>
      <c r="B37" s="40"/>
    </row>
    <row r="38" spans="1:11" ht="14.25" customHeight="1">
      <c r="A38" s="145" t="s">
        <v>226</v>
      </c>
      <c r="B38" s="117"/>
      <c r="C38" s="117"/>
      <c r="D38" s="22" t="str">
        <f>IDENTITAS!C13</f>
        <v>Tegal</v>
      </c>
    </row>
    <row r="39" spans="1:11" ht="14.25" customHeight="1">
      <c r="A39" s="145" t="s">
        <v>227</v>
      </c>
      <c r="B39" s="117"/>
      <c r="C39" s="117"/>
      <c r="D39" s="9" t="str">
        <f>IDENTITAS!C14</f>
        <v>13 September 2025</v>
      </c>
    </row>
    <row r="40" spans="1:11" ht="14.25" customHeight="1">
      <c r="A40" s="57" t="s">
        <v>233</v>
      </c>
      <c r="B40" s="40"/>
    </row>
    <row r="41" spans="1:11" ht="14.25" customHeight="1">
      <c r="A41" s="41" t="s">
        <v>234</v>
      </c>
      <c r="B41" s="40"/>
    </row>
    <row r="42" spans="1:11" ht="14.25" customHeight="1">
      <c r="A42" s="145" t="s">
        <v>235</v>
      </c>
      <c r="B42" s="117"/>
      <c r="C42" s="117"/>
      <c r="D42" s="58" t="str">
        <f>IF(J42=0,"..................(....................)",IF(J42=2,"II ( D u a )",IF(J42=3,"III ( T i g a )",IF(J42=4,"IV (E m p a t)",IF(OR(J42=5,J42="LULUS"),"LULUS","")))))</f>
        <v>..................(....................)</v>
      </c>
      <c r="J42" s="51">
        <f>IF(ISBLANK(J7),"",IFERROR(VLOOKUP(J7,Nilai,20,FALSE),""))</f>
        <v>0</v>
      </c>
      <c r="K42" s="51" t="s">
        <v>236</v>
      </c>
    </row>
    <row r="43" spans="1:11" ht="14.25" customHeight="1">
      <c r="A43" s="145" t="s">
        <v>237</v>
      </c>
      <c r="B43" s="117"/>
      <c r="C43" s="117"/>
      <c r="D43" s="58" t="str">
        <f>IF(J43=0,"..................(....................)",IF(J43=1,"I (S a t u)",IF(J43=2,"II ( D u a )",IF(J43=3,"III ( T i g a )",""))))</f>
        <v>I (S a t u)</v>
      </c>
      <c r="J43" s="51">
        <f>IF(ISBLANK(J7),"",IFERROR(VLOOKUP(J7,Nilai,21,FALSE),""))</f>
        <v>1</v>
      </c>
      <c r="K43" s="51" t="s">
        <v>238</v>
      </c>
    </row>
    <row r="44" spans="1:11" ht="14.25" customHeight="1">
      <c r="A44" s="41"/>
      <c r="B44" s="40"/>
    </row>
    <row r="45" spans="1:11" ht="14.25" customHeight="1">
      <c r="A45" s="41"/>
      <c r="B45" s="40"/>
      <c r="C45" s="146" t="s">
        <v>228</v>
      </c>
      <c r="D45" s="117"/>
      <c r="E45" s="117"/>
      <c r="F45" s="117"/>
    </row>
    <row r="46" spans="1:11" ht="14.25" customHeight="1">
      <c r="A46" s="41"/>
      <c r="B46" s="40"/>
      <c r="C46" s="146" t="s">
        <v>147</v>
      </c>
      <c r="D46" s="117"/>
      <c r="F46" s="7" t="s">
        <v>229</v>
      </c>
      <c r="G46" s="146" t="s">
        <v>230</v>
      </c>
      <c r="H46" s="117"/>
    </row>
    <row r="47" spans="1:11" ht="14.25" customHeight="1">
      <c r="A47" s="41"/>
      <c r="B47" s="40"/>
      <c r="F47" s="7"/>
      <c r="G47" s="7"/>
    </row>
    <row r="48" spans="1:11" ht="14.25" customHeight="1">
      <c r="A48" s="41"/>
      <c r="B48" s="40"/>
      <c r="F48" s="7"/>
      <c r="G48" s="7"/>
    </row>
    <row r="49" spans="1:8" ht="14.25" customHeight="1">
      <c r="A49" s="41"/>
      <c r="B49" s="40"/>
      <c r="F49" s="7"/>
      <c r="G49" s="7"/>
    </row>
    <row r="50" spans="1:8" ht="14.25" customHeight="1">
      <c r="A50" s="41"/>
      <c r="B50" s="40"/>
      <c r="C50" s="138" t="str">
        <f>IDENTITAS!C16</f>
        <v>NURKHOLIS, S.Pd.I</v>
      </c>
      <c r="D50" s="117"/>
      <c r="F50" s="7" t="s">
        <v>231</v>
      </c>
      <c r="G50" s="138" t="str">
        <f>IDENTITAS!C15</f>
        <v>TOIPAH</v>
      </c>
      <c r="H50" s="117"/>
    </row>
    <row r="51" spans="1:8" ht="14.25" customHeight="1">
      <c r="A51" s="41"/>
      <c r="B51" s="40"/>
    </row>
    <row r="52" spans="1:8" ht="14.25" customHeight="1">
      <c r="A52" s="41"/>
      <c r="B52" s="40"/>
    </row>
    <row r="53" spans="1:8" ht="14.25" customHeight="1">
      <c r="A53" s="41"/>
      <c r="B53" s="40"/>
    </row>
    <row r="54" spans="1:8" ht="14.25" customHeight="1">
      <c r="A54" s="41"/>
      <c r="B54" s="40"/>
    </row>
    <row r="55" spans="1:8" ht="14.25" customHeight="1">
      <c r="A55" s="41"/>
      <c r="B55" s="40"/>
    </row>
    <row r="56" spans="1:8" ht="14.25" customHeight="1">
      <c r="A56" s="40"/>
      <c r="B56" s="40"/>
    </row>
    <row r="57" spans="1:8" ht="14.25" customHeight="1">
      <c r="A57" s="40"/>
      <c r="B57" s="40"/>
    </row>
    <row r="58" spans="1:8" ht="14.25" customHeight="1">
      <c r="A58" s="40"/>
      <c r="B58" s="40"/>
    </row>
    <row r="59" spans="1:8" ht="14.25" customHeight="1">
      <c r="A59" s="40"/>
      <c r="B59" s="40"/>
    </row>
    <row r="60" spans="1:8" ht="14.25" customHeight="1">
      <c r="A60" s="40"/>
      <c r="B60" s="40"/>
    </row>
    <row r="61" spans="1:8" ht="14.25" customHeight="1">
      <c r="A61" s="40"/>
      <c r="B61" s="40"/>
    </row>
    <row r="62" spans="1:8" ht="14.25" customHeight="1">
      <c r="A62" s="40"/>
      <c r="B62" s="40"/>
    </row>
    <row r="63" spans="1:8" ht="14.25" customHeight="1">
      <c r="A63" s="40"/>
      <c r="B63" s="40"/>
    </row>
    <row r="64" spans="1:8" ht="14.25" customHeight="1">
      <c r="A64" s="40"/>
      <c r="B64" s="40"/>
    </row>
    <row r="65" spans="1:2" ht="14.25" customHeight="1">
      <c r="A65" s="40"/>
      <c r="B65" s="40"/>
    </row>
    <row r="66" spans="1:2" ht="14.25" customHeight="1">
      <c r="A66" s="40"/>
      <c r="B66" s="40"/>
    </row>
    <row r="67" spans="1:2" ht="14.25" customHeight="1">
      <c r="A67" s="40"/>
      <c r="B67" s="40"/>
    </row>
    <row r="68" spans="1:2" ht="14.25" customHeight="1">
      <c r="A68" s="40"/>
      <c r="B68" s="40"/>
    </row>
    <row r="69" spans="1:2" ht="14.25" customHeight="1">
      <c r="A69" s="40"/>
      <c r="B69" s="40"/>
    </row>
    <row r="70" spans="1:2" ht="14.25" customHeight="1">
      <c r="A70" s="40"/>
      <c r="B70" s="40"/>
    </row>
    <row r="71" spans="1:2" ht="14.25" customHeight="1">
      <c r="A71" s="40"/>
      <c r="B71" s="40"/>
    </row>
    <row r="72" spans="1:2" ht="14.25" customHeight="1">
      <c r="A72" s="40"/>
      <c r="B72" s="40"/>
    </row>
    <row r="73" spans="1:2" ht="14.25" customHeight="1">
      <c r="A73" s="40"/>
      <c r="B73" s="40"/>
    </row>
    <row r="74" spans="1:2" ht="14.25" customHeight="1">
      <c r="A74" s="40"/>
      <c r="B74" s="40"/>
    </row>
    <row r="75" spans="1:2" ht="14.25" customHeight="1">
      <c r="A75" s="40"/>
      <c r="B75" s="40"/>
    </row>
    <row r="76" spans="1:2" ht="14.25" customHeight="1">
      <c r="A76" s="40"/>
      <c r="B76" s="40"/>
    </row>
    <row r="77" spans="1:2" ht="14.25" customHeight="1">
      <c r="A77" s="40"/>
      <c r="B77" s="40"/>
    </row>
    <row r="78" spans="1:2" ht="14.25" customHeight="1">
      <c r="A78" s="40"/>
      <c r="B78" s="40"/>
    </row>
    <row r="79" spans="1:2" ht="14.25" customHeight="1">
      <c r="A79" s="40"/>
      <c r="B79" s="40"/>
    </row>
    <row r="80" spans="1:2" ht="14.25" customHeight="1">
      <c r="A80" s="40"/>
      <c r="B80" s="40"/>
    </row>
    <row r="81" spans="1:2" ht="14.25" customHeight="1">
      <c r="A81" s="40"/>
      <c r="B81" s="40"/>
    </row>
    <row r="82" spans="1:2" ht="14.25" customHeight="1">
      <c r="A82" s="40"/>
      <c r="B82" s="40"/>
    </row>
    <row r="83" spans="1:2" ht="14.25" customHeight="1">
      <c r="A83" s="40"/>
      <c r="B83" s="40"/>
    </row>
    <row r="84" spans="1:2" ht="14.25" customHeight="1">
      <c r="A84" s="40"/>
      <c r="B84" s="40"/>
    </row>
    <row r="85" spans="1:2" ht="14.25" customHeight="1">
      <c r="A85" s="40"/>
      <c r="B85" s="40"/>
    </row>
    <row r="86" spans="1:2" ht="14.25" customHeight="1">
      <c r="A86" s="40"/>
      <c r="B86" s="40"/>
    </row>
    <row r="87" spans="1:2" ht="14.25" customHeight="1">
      <c r="A87" s="40"/>
      <c r="B87" s="40"/>
    </row>
    <row r="88" spans="1:2" ht="14.25" customHeight="1">
      <c r="A88" s="40"/>
      <c r="B88" s="40"/>
    </row>
    <row r="89" spans="1:2" ht="14.25" customHeight="1">
      <c r="A89" s="40"/>
      <c r="B89" s="40"/>
    </row>
    <row r="90" spans="1:2" ht="14.25" customHeight="1">
      <c r="A90" s="40"/>
      <c r="B90" s="40"/>
    </row>
    <row r="91" spans="1:2" ht="14.25" customHeight="1">
      <c r="A91" s="40"/>
      <c r="B91" s="40"/>
    </row>
    <row r="92" spans="1:2" ht="14.25" customHeight="1">
      <c r="A92" s="40"/>
      <c r="B92" s="40"/>
    </row>
    <row r="93" spans="1:2" ht="14.25" customHeight="1">
      <c r="A93" s="40"/>
      <c r="B93" s="40"/>
    </row>
    <row r="94" spans="1:2" ht="14.25" customHeight="1">
      <c r="A94" s="40"/>
      <c r="B94" s="40"/>
    </row>
    <row r="95" spans="1:2" ht="14.25" customHeight="1">
      <c r="A95" s="40"/>
      <c r="B95" s="40"/>
    </row>
    <row r="96" spans="1:2" ht="14.25" customHeight="1">
      <c r="A96" s="40"/>
      <c r="B96" s="40"/>
    </row>
    <row r="97" spans="1:2" ht="14.25" customHeight="1">
      <c r="A97" s="40"/>
      <c r="B97" s="40"/>
    </row>
    <row r="98" spans="1:2" ht="14.25" customHeight="1">
      <c r="A98" s="40"/>
      <c r="B98" s="40"/>
    </row>
    <row r="99" spans="1:2" ht="14.25" customHeight="1">
      <c r="A99" s="40"/>
      <c r="B99" s="40"/>
    </row>
    <row r="100" spans="1:2" ht="14.25" customHeight="1">
      <c r="A100" s="40"/>
      <c r="B100" s="40"/>
    </row>
    <row r="101" spans="1:2" ht="14.25" customHeight="1">
      <c r="A101" s="40"/>
      <c r="B101" s="40"/>
    </row>
    <row r="102" spans="1:2" ht="14.25" customHeight="1">
      <c r="A102" s="40"/>
      <c r="B102" s="40"/>
    </row>
    <row r="103" spans="1:2" ht="14.25" customHeight="1">
      <c r="A103" s="40"/>
      <c r="B103" s="40"/>
    </row>
    <row r="104" spans="1:2" ht="14.25" customHeight="1">
      <c r="A104" s="40"/>
      <c r="B104" s="40"/>
    </row>
    <row r="105" spans="1:2" ht="14.25" customHeight="1">
      <c r="A105" s="40"/>
      <c r="B105" s="40"/>
    </row>
    <row r="106" spans="1:2" ht="14.25" customHeight="1">
      <c r="A106" s="40"/>
      <c r="B106" s="40"/>
    </row>
    <row r="107" spans="1:2" ht="14.25" customHeight="1">
      <c r="A107" s="40"/>
      <c r="B107" s="40"/>
    </row>
    <row r="108" spans="1:2" ht="14.25" customHeight="1">
      <c r="A108" s="40"/>
      <c r="B108" s="40"/>
    </row>
    <row r="109" spans="1:2" ht="14.25" customHeight="1">
      <c r="A109" s="40"/>
      <c r="B109" s="40"/>
    </row>
    <row r="110" spans="1:2" ht="14.25" customHeight="1">
      <c r="A110" s="40"/>
      <c r="B110" s="40"/>
    </row>
    <row r="111" spans="1:2" ht="14.25" customHeight="1">
      <c r="A111" s="40"/>
      <c r="B111" s="40"/>
    </row>
    <row r="112" spans="1:2" ht="14.25" customHeight="1">
      <c r="A112" s="40"/>
      <c r="B112" s="40"/>
    </row>
    <row r="113" spans="1:2" ht="14.25" customHeight="1">
      <c r="A113" s="40"/>
      <c r="B113" s="40"/>
    </row>
    <row r="114" spans="1:2" ht="14.25" customHeight="1">
      <c r="A114" s="40"/>
      <c r="B114" s="40"/>
    </row>
    <row r="115" spans="1:2" ht="14.25" customHeight="1">
      <c r="A115" s="40"/>
      <c r="B115" s="40"/>
    </row>
    <row r="116" spans="1:2" ht="14.25" customHeight="1">
      <c r="A116" s="40"/>
      <c r="B116" s="40"/>
    </row>
    <row r="117" spans="1:2" ht="14.25" customHeight="1">
      <c r="A117" s="40"/>
      <c r="B117" s="40"/>
    </row>
    <row r="118" spans="1:2" ht="14.25" customHeight="1">
      <c r="A118" s="40"/>
      <c r="B118" s="40"/>
    </row>
    <row r="119" spans="1:2" ht="14.25" customHeight="1">
      <c r="A119" s="40"/>
      <c r="B119" s="40"/>
    </row>
    <row r="120" spans="1:2" ht="14.25" customHeight="1">
      <c r="A120" s="40"/>
      <c r="B120" s="40"/>
    </row>
    <row r="121" spans="1:2" ht="14.25" customHeight="1">
      <c r="A121" s="40"/>
      <c r="B121" s="40"/>
    </row>
    <row r="122" spans="1:2" ht="14.25" customHeight="1">
      <c r="A122" s="40"/>
      <c r="B122" s="40"/>
    </row>
    <row r="123" spans="1:2" ht="14.25" customHeight="1">
      <c r="A123" s="40"/>
      <c r="B123" s="40"/>
    </row>
    <row r="124" spans="1:2" ht="14.25" customHeight="1">
      <c r="A124" s="40"/>
      <c r="B124" s="40"/>
    </row>
    <row r="125" spans="1:2" ht="14.25" customHeight="1">
      <c r="A125" s="40"/>
      <c r="B125" s="40"/>
    </row>
    <row r="126" spans="1:2" ht="14.25" customHeight="1">
      <c r="A126" s="40"/>
      <c r="B126" s="40"/>
    </row>
    <row r="127" spans="1:2" ht="14.25" customHeight="1">
      <c r="A127" s="40"/>
      <c r="B127" s="40"/>
    </row>
    <row r="128" spans="1:2" ht="14.25" customHeight="1">
      <c r="A128" s="40"/>
      <c r="B128" s="40"/>
    </row>
    <row r="129" spans="1:2" ht="14.25" customHeight="1">
      <c r="A129" s="40"/>
      <c r="B129" s="40"/>
    </row>
    <row r="130" spans="1:2" ht="14.25" customHeight="1">
      <c r="A130" s="40"/>
      <c r="B130" s="40"/>
    </row>
    <row r="131" spans="1:2" ht="14.25" customHeight="1">
      <c r="A131" s="40"/>
      <c r="B131" s="40"/>
    </row>
    <row r="132" spans="1:2" ht="14.25" customHeight="1">
      <c r="A132" s="40"/>
      <c r="B132" s="40"/>
    </row>
    <row r="133" spans="1:2" ht="14.25" customHeight="1">
      <c r="A133" s="40"/>
      <c r="B133" s="40"/>
    </row>
    <row r="134" spans="1:2" ht="14.25" customHeight="1">
      <c r="A134" s="40"/>
      <c r="B134" s="40"/>
    </row>
    <row r="135" spans="1:2" ht="14.25" customHeight="1">
      <c r="A135" s="40"/>
      <c r="B135" s="40"/>
    </row>
    <row r="136" spans="1:2" ht="14.25" customHeight="1">
      <c r="A136" s="40"/>
      <c r="B136" s="40"/>
    </row>
    <row r="137" spans="1:2" ht="14.25" customHeight="1">
      <c r="A137" s="40"/>
      <c r="B137" s="40"/>
    </row>
    <row r="138" spans="1:2" ht="14.25" customHeight="1">
      <c r="A138" s="40"/>
      <c r="B138" s="40"/>
    </row>
    <row r="139" spans="1:2" ht="14.25" customHeight="1">
      <c r="A139" s="40"/>
      <c r="B139" s="40"/>
    </row>
    <row r="140" spans="1:2" ht="14.25" customHeight="1">
      <c r="A140" s="40"/>
      <c r="B140" s="40"/>
    </row>
    <row r="141" spans="1:2" ht="14.25" customHeight="1">
      <c r="A141" s="40"/>
      <c r="B141" s="40"/>
    </row>
    <row r="142" spans="1:2" ht="14.25" customHeight="1">
      <c r="A142" s="40"/>
      <c r="B142" s="40"/>
    </row>
    <row r="143" spans="1:2" ht="14.25" customHeight="1">
      <c r="A143" s="40"/>
      <c r="B143" s="40"/>
    </row>
    <row r="144" spans="1:2" ht="14.25" customHeight="1">
      <c r="A144" s="40"/>
      <c r="B144" s="40"/>
    </row>
    <row r="145" spans="1:2" ht="14.25" customHeight="1">
      <c r="A145" s="40"/>
      <c r="B145" s="40"/>
    </row>
    <row r="146" spans="1:2" ht="14.25" customHeight="1">
      <c r="A146" s="40"/>
      <c r="B146" s="40"/>
    </row>
    <row r="147" spans="1:2" ht="14.25" customHeight="1">
      <c r="A147" s="40"/>
      <c r="B147" s="40"/>
    </row>
    <row r="148" spans="1:2" ht="14.25" customHeight="1">
      <c r="A148" s="40"/>
      <c r="B148" s="40"/>
    </row>
    <row r="149" spans="1:2" ht="14.25" customHeight="1">
      <c r="A149" s="40"/>
      <c r="B149" s="40"/>
    </row>
    <row r="150" spans="1:2" ht="14.25" customHeight="1">
      <c r="A150" s="40"/>
      <c r="B150" s="40"/>
    </row>
    <row r="151" spans="1:2" ht="14.25" customHeight="1">
      <c r="A151" s="40"/>
      <c r="B151" s="40"/>
    </row>
    <row r="152" spans="1:2" ht="14.25" customHeight="1">
      <c r="A152" s="40"/>
      <c r="B152" s="40"/>
    </row>
    <row r="153" spans="1:2" ht="14.25" customHeight="1">
      <c r="A153" s="40"/>
      <c r="B153" s="40"/>
    </row>
    <row r="154" spans="1:2" ht="14.25" customHeight="1">
      <c r="A154" s="40"/>
      <c r="B154" s="40"/>
    </row>
    <row r="155" spans="1:2" ht="14.25" customHeight="1">
      <c r="A155" s="40"/>
      <c r="B155" s="40"/>
    </row>
    <row r="156" spans="1:2" ht="14.25" customHeight="1">
      <c r="A156" s="40"/>
      <c r="B156" s="40"/>
    </row>
    <row r="157" spans="1:2" ht="14.25" customHeight="1">
      <c r="A157" s="40"/>
      <c r="B157" s="40"/>
    </row>
    <row r="158" spans="1:2" ht="14.25" customHeight="1">
      <c r="A158" s="40"/>
      <c r="B158" s="40"/>
    </row>
    <row r="159" spans="1:2" ht="14.25" customHeight="1">
      <c r="A159" s="40"/>
      <c r="B159" s="40"/>
    </row>
    <row r="160" spans="1:2" ht="14.25" customHeight="1">
      <c r="A160" s="40"/>
      <c r="B160" s="40"/>
    </row>
    <row r="161" spans="1:2" ht="14.25" customHeight="1">
      <c r="A161" s="40"/>
      <c r="B161" s="40"/>
    </row>
    <row r="162" spans="1:2" ht="14.25" customHeight="1">
      <c r="A162" s="40"/>
      <c r="B162" s="40"/>
    </row>
    <row r="163" spans="1:2" ht="14.25" customHeight="1">
      <c r="A163" s="40"/>
      <c r="B163" s="40"/>
    </row>
    <row r="164" spans="1:2" ht="14.25" customHeight="1">
      <c r="A164" s="40"/>
      <c r="B164" s="40"/>
    </row>
    <row r="165" spans="1:2" ht="14.25" customHeight="1">
      <c r="A165" s="40"/>
      <c r="B165" s="40"/>
    </row>
    <row r="166" spans="1:2" ht="14.25" customHeight="1">
      <c r="A166" s="40"/>
      <c r="B166" s="40"/>
    </row>
    <row r="167" spans="1:2" ht="14.25" customHeight="1">
      <c r="A167" s="40"/>
      <c r="B167" s="40"/>
    </row>
    <row r="168" spans="1:2" ht="14.25" customHeight="1">
      <c r="A168" s="40"/>
      <c r="B168" s="40"/>
    </row>
    <row r="169" spans="1:2" ht="14.25" customHeight="1">
      <c r="A169" s="40"/>
      <c r="B169" s="40"/>
    </row>
    <row r="170" spans="1:2" ht="14.25" customHeight="1">
      <c r="A170" s="40"/>
      <c r="B170" s="40"/>
    </row>
    <row r="171" spans="1:2" ht="14.25" customHeight="1">
      <c r="A171" s="40"/>
      <c r="B171" s="40"/>
    </row>
    <row r="172" spans="1:2" ht="14.25" customHeight="1">
      <c r="A172" s="40"/>
      <c r="B172" s="40"/>
    </row>
    <row r="173" spans="1:2" ht="14.25" customHeight="1">
      <c r="A173" s="40"/>
      <c r="B173" s="40"/>
    </row>
    <row r="174" spans="1:2" ht="14.25" customHeight="1">
      <c r="A174" s="40"/>
      <c r="B174" s="40"/>
    </row>
    <row r="175" spans="1:2" ht="14.25" customHeight="1">
      <c r="A175" s="40"/>
      <c r="B175" s="40"/>
    </row>
    <row r="176" spans="1:2" ht="14.25" customHeight="1">
      <c r="A176" s="40"/>
      <c r="B176" s="40"/>
    </row>
    <row r="177" spans="1:2" ht="14.25" customHeight="1">
      <c r="A177" s="40"/>
      <c r="B177" s="40"/>
    </row>
    <row r="178" spans="1:2" ht="14.25" customHeight="1">
      <c r="A178" s="40"/>
      <c r="B178" s="40"/>
    </row>
    <row r="179" spans="1:2" ht="14.25" customHeight="1">
      <c r="A179" s="40"/>
      <c r="B179" s="40"/>
    </row>
    <row r="180" spans="1:2" ht="14.25" customHeight="1">
      <c r="A180" s="40"/>
      <c r="B180" s="40"/>
    </row>
    <row r="181" spans="1:2" ht="14.25" customHeight="1">
      <c r="A181" s="40"/>
      <c r="B181" s="40"/>
    </row>
    <row r="182" spans="1:2" ht="14.25" customHeight="1">
      <c r="A182" s="40"/>
      <c r="B182" s="40"/>
    </row>
    <row r="183" spans="1:2" ht="14.25" customHeight="1">
      <c r="A183" s="40"/>
      <c r="B183" s="40"/>
    </row>
    <row r="184" spans="1:2" ht="14.25" customHeight="1">
      <c r="A184" s="40"/>
      <c r="B184" s="40"/>
    </row>
    <row r="185" spans="1:2" ht="14.25" customHeight="1">
      <c r="A185" s="40"/>
      <c r="B185" s="40"/>
    </row>
    <row r="186" spans="1:2" ht="14.25" customHeight="1">
      <c r="A186" s="40"/>
      <c r="B186" s="40"/>
    </row>
    <row r="187" spans="1:2" ht="14.25" customHeight="1">
      <c r="A187" s="40"/>
      <c r="B187" s="40"/>
    </row>
    <row r="188" spans="1:2" ht="14.25" customHeight="1">
      <c r="A188" s="40"/>
      <c r="B188" s="40"/>
    </row>
    <row r="189" spans="1:2" ht="14.25" customHeight="1">
      <c r="A189" s="40"/>
      <c r="B189" s="40"/>
    </row>
    <row r="190" spans="1:2" ht="14.25" customHeight="1">
      <c r="A190" s="40"/>
      <c r="B190" s="40"/>
    </row>
    <row r="191" spans="1:2" ht="14.25" customHeight="1">
      <c r="A191" s="40"/>
      <c r="B191" s="40"/>
    </row>
    <row r="192" spans="1:2" ht="14.25" customHeight="1">
      <c r="A192" s="40"/>
      <c r="B192" s="40"/>
    </row>
    <row r="193" spans="1:2" ht="14.25" customHeight="1">
      <c r="A193" s="40"/>
      <c r="B193" s="40"/>
    </row>
    <row r="194" spans="1:2" ht="14.25" customHeight="1">
      <c r="A194" s="40"/>
      <c r="B194" s="40"/>
    </row>
    <row r="195" spans="1:2" ht="14.25" customHeight="1">
      <c r="A195" s="40"/>
      <c r="B195" s="40"/>
    </row>
    <row r="196" spans="1:2" ht="14.25" customHeight="1">
      <c r="A196" s="40"/>
      <c r="B196" s="40"/>
    </row>
    <row r="197" spans="1:2" ht="14.25" customHeight="1">
      <c r="A197" s="40"/>
      <c r="B197" s="40"/>
    </row>
    <row r="198" spans="1:2" ht="14.25" customHeight="1">
      <c r="A198" s="40"/>
      <c r="B198" s="40"/>
    </row>
    <row r="199" spans="1:2" ht="14.25" customHeight="1">
      <c r="A199" s="40"/>
      <c r="B199" s="40"/>
    </row>
    <row r="200" spans="1:2" ht="14.25" customHeight="1">
      <c r="A200" s="40"/>
      <c r="B200" s="40"/>
    </row>
    <row r="201" spans="1:2" ht="14.25" customHeight="1">
      <c r="A201" s="40"/>
      <c r="B201" s="40"/>
    </row>
    <row r="202" spans="1:2" ht="14.25" customHeight="1">
      <c r="A202" s="40"/>
      <c r="B202" s="40"/>
    </row>
    <row r="203" spans="1:2" ht="14.25" customHeight="1">
      <c r="A203" s="40"/>
      <c r="B203" s="40"/>
    </row>
    <row r="204" spans="1:2" ht="14.25" customHeight="1">
      <c r="A204" s="40"/>
      <c r="B204" s="40"/>
    </row>
    <row r="205" spans="1:2" ht="14.25" customHeight="1">
      <c r="A205" s="40"/>
      <c r="B205" s="40"/>
    </row>
    <row r="206" spans="1:2" ht="14.25" customHeight="1">
      <c r="A206" s="40"/>
      <c r="B206" s="40"/>
    </row>
    <row r="207" spans="1:2" ht="14.25" customHeight="1">
      <c r="A207" s="40"/>
      <c r="B207" s="40"/>
    </row>
    <row r="208" spans="1:2" ht="14.25" customHeight="1">
      <c r="A208" s="40"/>
      <c r="B208" s="40"/>
    </row>
    <row r="209" spans="1:2" ht="14.25" customHeight="1">
      <c r="A209" s="40"/>
      <c r="B209" s="40"/>
    </row>
    <row r="210" spans="1:2" ht="14.25" customHeight="1">
      <c r="A210" s="40"/>
      <c r="B210" s="40"/>
    </row>
    <row r="211" spans="1:2" ht="14.25" customHeight="1">
      <c r="A211" s="40"/>
      <c r="B211" s="40"/>
    </row>
    <row r="212" spans="1:2" ht="14.25" customHeight="1">
      <c r="A212" s="40"/>
      <c r="B212" s="40"/>
    </row>
    <row r="213" spans="1:2" ht="14.25" customHeight="1">
      <c r="A213" s="40"/>
      <c r="B213" s="40"/>
    </row>
    <row r="214" spans="1:2" ht="14.25" customHeight="1">
      <c r="A214" s="40"/>
      <c r="B214" s="40"/>
    </row>
    <row r="215" spans="1:2" ht="14.25" customHeight="1">
      <c r="A215" s="40"/>
      <c r="B215" s="40"/>
    </row>
    <row r="216" spans="1:2" ht="14.25" customHeight="1">
      <c r="A216" s="40"/>
      <c r="B216" s="40"/>
    </row>
    <row r="217" spans="1:2" ht="14.25" customHeight="1">
      <c r="A217" s="40"/>
      <c r="B217" s="40"/>
    </row>
    <row r="218" spans="1:2" ht="14.25" customHeight="1">
      <c r="A218" s="40"/>
      <c r="B218" s="40"/>
    </row>
    <row r="219" spans="1:2" ht="14.25" customHeight="1">
      <c r="A219" s="40"/>
      <c r="B219" s="40"/>
    </row>
    <row r="220" spans="1:2" ht="14.25" customHeight="1">
      <c r="A220" s="40"/>
      <c r="B220" s="40"/>
    </row>
    <row r="221" spans="1:2" ht="14.25" customHeight="1">
      <c r="A221" s="40"/>
      <c r="B221" s="40"/>
    </row>
    <row r="222" spans="1:2" ht="14.25" customHeight="1">
      <c r="A222" s="40"/>
      <c r="B222" s="40"/>
    </row>
    <row r="223" spans="1:2" ht="14.25" customHeight="1">
      <c r="A223" s="40"/>
      <c r="B223" s="40"/>
    </row>
    <row r="224" spans="1:2" ht="14.25" customHeight="1">
      <c r="A224" s="40"/>
      <c r="B224" s="40"/>
    </row>
    <row r="225" spans="1:2" ht="14.25" customHeight="1">
      <c r="A225" s="40"/>
      <c r="B225" s="40"/>
    </row>
    <row r="226" spans="1:2" ht="14.25" customHeight="1">
      <c r="A226" s="40"/>
      <c r="B226" s="40"/>
    </row>
    <row r="227" spans="1:2" ht="14.25" customHeight="1">
      <c r="A227" s="40"/>
      <c r="B227" s="40"/>
    </row>
    <row r="228" spans="1:2" ht="14.25" customHeight="1">
      <c r="A228" s="40"/>
      <c r="B228" s="40"/>
    </row>
    <row r="229" spans="1:2" ht="14.25" customHeight="1">
      <c r="A229" s="40"/>
      <c r="B229" s="40"/>
    </row>
    <row r="230" spans="1:2" ht="14.25" customHeight="1">
      <c r="A230" s="40"/>
      <c r="B230" s="40"/>
    </row>
    <row r="231" spans="1:2" ht="14.25" customHeight="1">
      <c r="A231" s="40"/>
      <c r="B231" s="40"/>
    </row>
    <row r="232" spans="1:2" ht="14.25" customHeight="1">
      <c r="A232" s="40"/>
      <c r="B232" s="40"/>
    </row>
    <row r="233" spans="1:2" ht="14.25" customHeight="1">
      <c r="A233" s="40"/>
      <c r="B233" s="40"/>
    </row>
    <row r="234" spans="1:2" ht="14.25" customHeight="1">
      <c r="A234" s="40"/>
      <c r="B234" s="40"/>
    </row>
    <row r="235" spans="1:2" ht="14.25" customHeight="1">
      <c r="A235" s="40"/>
      <c r="B235" s="40"/>
    </row>
    <row r="236" spans="1:2" ht="14.25" customHeight="1">
      <c r="A236" s="40"/>
      <c r="B236" s="40"/>
    </row>
    <row r="237" spans="1:2" ht="14.25" customHeight="1">
      <c r="A237" s="40"/>
      <c r="B237" s="40"/>
    </row>
    <row r="238" spans="1:2" ht="14.25" customHeight="1">
      <c r="A238" s="40"/>
      <c r="B238" s="40"/>
    </row>
    <row r="239" spans="1:2" ht="14.25" customHeight="1">
      <c r="A239" s="40"/>
      <c r="B239" s="40"/>
    </row>
    <row r="240" spans="1:2" ht="14.25" customHeight="1">
      <c r="A240" s="40"/>
      <c r="B240" s="40"/>
    </row>
    <row r="241" spans="1:2" ht="14.25" customHeight="1">
      <c r="A241" s="40"/>
      <c r="B241" s="40"/>
    </row>
    <row r="242" spans="1:2" ht="14.25" customHeight="1">
      <c r="A242" s="40"/>
      <c r="B242" s="40"/>
    </row>
    <row r="243" spans="1:2" ht="14.25" customHeight="1">
      <c r="A243" s="40"/>
      <c r="B243" s="40"/>
    </row>
    <row r="244" spans="1:2" ht="14.25" customHeight="1">
      <c r="A244" s="40"/>
      <c r="B244" s="40"/>
    </row>
    <row r="245" spans="1:2" ht="14.25" customHeight="1">
      <c r="A245" s="40"/>
      <c r="B245" s="40"/>
    </row>
    <row r="246" spans="1:2" ht="14.25" customHeight="1">
      <c r="A246" s="40"/>
      <c r="B246" s="40"/>
    </row>
    <row r="247" spans="1:2" ht="14.25" customHeight="1">
      <c r="A247" s="40"/>
      <c r="B247" s="40"/>
    </row>
    <row r="248" spans="1:2" ht="14.25" customHeight="1">
      <c r="A248" s="40"/>
      <c r="B248" s="40"/>
    </row>
    <row r="249" spans="1:2" ht="14.25" customHeight="1">
      <c r="A249" s="40"/>
      <c r="B249" s="40"/>
    </row>
    <row r="250" spans="1:2" ht="14.25" customHeight="1">
      <c r="A250" s="40"/>
      <c r="B250" s="40"/>
    </row>
    <row r="251" spans="1:2" ht="14.25" customHeight="1">
      <c r="A251" s="40"/>
      <c r="B251" s="40"/>
    </row>
    <row r="252" spans="1:2" ht="14.25" customHeight="1">
      <c r="A252" s="40"/>
      <c r="B252" s="40"/>
    </row>
    <row r="253" spans="1:2" ht="14.25" customHeight="1">
      <c r="A253" s="40"/>
      <c r="B253" s="40"/>
    </row>
    <row r="254" spans="1:2" ht="14.25" customHeight="1">
      <c r="A254" s="40"/>
      <c r="B254" s="40"/>
    </row>
    <row r="255" spans="1:2" ht="14.25" customHeight="1">
      <c r="A255" s="40"/>
      <c r="B255" s="40"/>
    </row>
    <row r="256" spans="1:2" ht="14.25" customHeight="1">
      <c r="A256" s="40"/>
      <c r="B256" s="40"/>
    </row>
    <row r="257" spans="1:2" ht="14.25" customHeight="1">
      <c r="A257" s="40"/>
      <c r="B257" s="40"/>
    </row>
    <row r="258" spans="1:2" ht="14.25" customHeight="1">
      <c r="A258" s="40"/>
      <c r="B258" s="40"/>
    </row>
    <row r="259" spans="1:2" ht="14.25" customHeight="1">
      <c r="A259" s="40"/>
      <c r="B259" s="40"/>
    </row>
    <row r="260" spans="1:2" ht="14.25" customHeight="1">
      <c r="A260" s="40"/>
      <c r="B260" s="40"/>
    </row>
    <row r="261" spans="1:2" ht="14.25" customHeight="1">
      <c r="A261" s="40"/>
      <c r="B261" s="40"/>
    </row>
    <row r="262" spans="1:2" ht="14.25" customHeight="1">
      <c r="A262" s="40"/>
      <c r="B262" s="40"/>
    </row>
    <row r="263" spans="1:2" ht="14.25" customHeight="1">
      <c r="A263" s="40"/>
      <c r="B263" s="40"/>
    </row>
    <row r="264" spans="1:2" ht="14.25" customHeight="1">
      <c r="A264" s="40"/>
      <c r="B264" s="40"/>
    </row>
    <row r="265" spans="1:2" ht="14.25" customHeight="1">
      <c r="A265" s="40"/>
      <c r="B265" s="40"/>
    </row>
    <row r="266" spans="1:2" ht="14.25" customHeight="1">
      <c r="A266" s="40"/>
      <c r="B266" s="40"/>
    </row>
    <row r="267" spans="1:2" ht="14.25" customHeight="1">
      <c r="A267" s="40"/>
      <c r="B267" s="40"/>
    </row>
    <row r="268" spans="1:2" ht="14.25" customHeight="1">
      <c r="A268" s="40"/>
      <c r="B268" s="40"/>
    </row>
    <row r="269" spans="1:2" ht="14.25" customHeight="1">
      <c r="A269" s="40"/>
      <c r="B269" s="40"/>
    </row>
    <row r="270" spans="1:2" ht="14.25" customHeight="1">
      <c r="A270" s="40"/>
      <c r="B270" s="40"/>
    </row>
    <row r="271" spans="1:2" ht="14.25" customHeight="1">
      <c r="A271" s="40"/>
      <c r="B271" s="40"/>
    </row>
    <row r="272" spans="1:2" ht="14.25" customHeight="1">
      <c r="A272" s="40"/>
      <c r="B272" s="40"/>
    </row>
    <row r="273" spans="1:2" ht="14.25" customHeight="1">
      <c r="A273" s="40"/>
      <c r="B273" s="40"/>
    </row>
    <row r="274" spans="1:2" ht="14.25" customHeight="1">
      <c r="A274" s="40"/>
      <c r="B274" s="40"/>
    </row>
    <row r="275" spans="1:2" ht="14.25" customHeight="1">
      <c r="A275" s="40"/>
      <c r="B275" s="40"/>
    </row>
    <row r="276" spans="1:2" ht="14.25" customHeight="1">
      <c r="A276" s="40"/>
      <c r="B276" s="40"/>
    </row>
    <row r="277" spans="1:2" ht="14.25" customHeight="1">
      <c r="A277" s="40"/>
      <c r="B277" s="40"/>
    </row>
    <row r="278" spans="1:2" ht="14.25" customHeight="1">
      <c r="A278" s="40"/>
      <c r="B278" s="40"/>
    </row>
    <row r="279" spans="1:2" ht="14.25" customHeight="1">
      <c r="A279" s="40"/>
      <c r="B279" s="40"/>
    </row>
    <row r="280" spans="1:2" ht="14.25" customHeight="1">
      <c r="A280" s="40"/>
      <c r="B280" s="40"/>
    </row>
    <row r="281" spans="1:2" ht="14.25" customHeight="1">
      <c r="A281" s="40"/>
      <c r="B281" s="40"/>
    </row>
    <row r="282" spans="1:2" ht="14.25" customHeight="1">
      <c r="A282" s="40"/>
      <c r="B282" s="40"/>
    </row>
    <row r="283" spans="1:2" ht="14.25" customHeight="1">
      <c r="A283" s="40"/>
      <c r="B283" s="40"/>
    </row>
    <row r="284" spans="1:2" ht="14.25" customHeight="1">
      <c r="A284" s="40"/>
      <c r="B284" s="40"/>
    </row>
    <row r="285" spans="1:2" ht="14.25" customHeight="1">
      <c r="A285" s="40"/>
      <c r="B285" s="40"/>
    </row>
    <row r="286" spans="1:2" ht="14.25" customHeight="1">
      <c r="A286" s="40"/>
      <c r="B286" s="40"/>
    </row>
    <row r="287" spans="1:2" ht="14.25" customHeight="1">
      <c r="A287" s="40"/>
      <c r="B287" s="40"/>
    </row>
    <row r="288" spans="1:2" ht="14.25" customHeight="1">
      <c r="A288" s="40"/>
      <c r="B288" s="40"/>
    </row>
    <row r="289" spans="1:2" ht="14.25" customHeight="1">
      <c r="A289" s="40"/>
      <c r="B289" s="40"/>
    </row>
    <row r="290" spans="1:2" ht="14.25" customHeight="1">
      <c r="A290" s="40"/>
      <c r="B290" s="40"/>
    </row>
    <row r="291" spans="1:2" ht="14.25" customHeight="1">
      <c r="A291" s="40"/>
      <c r="B291" s="40"/>
    </row>
    <row r="292" spans="1:2" ht="14.25" customHeight="1">
      <c r="A292" s="40"/>
      <c r="B292" s="40"/>
    </row>
    <row r="293" spans="1:2" ht="14.25" customHeight="1">
      <c r="A293" s="40"/>
      <c r="B293" s="40"/>
    </row>
    <row r="294" spans="1:2" ht="14.25" customHeight="1">
      <c r="A294" s="40"/>
      <c r="B294" s="40"/>
    </row>
    <row r="295" spans="1:2" ht="14.25" customHeight="1">
      <c r="A295" s="40"/>
      <c r="B295" s="40"/>
    </row>
    <row r="296" spans="1:2" ht="14.25" customHeight="1">
      <c r="A296" s="40"/>
      <c r="B296" s="40"/>
    </row>
    <row r="297" spans="1:2" ht="14.25" customHeight="1">
      <c r="A297" s="40"/>
      <c r="B297" s="40"/>
    </row>
    <row r="298" spans="1:2" ht="14.25" customHeight="1">
      <c r="A298" s="40"/>
      <c r="B298" s="40"/>
    </row>
    <row r="299" spans="1:2" ht="14.25" customHeight="1">
      <c r="A299" s="40"/>
      <c r="B299" s="40"/>
    </row>
    <row r="300" spans="1:2" ht="14.25" customHeight="1">
      <c r="A300" s="40"/>
      <c r="B300" s="40"/>
    </row>
    <row r="301" spans="1:2" ht="14.25" customHeight="1">
      <c r="A301" s="40"/>
      <c r="B301" s="40"/>
    </row>
    <row r="302" spans="1:2" ht="14.25" customHeight="1">
      <c r="A302" s="40"/>
      <c r="B302" s="40"/>
    </row>
    <row r="303" spans="1:2" ht="14.25" customHeight="1">
      <c r="A303" s="40"/>
      <c r="B303" s="40"/>
    </row>
    <row r="304" spans="1:2" ht="14.25" customHeight="1">
      <c r="A304" s="40"/>
      <c r="B304" s="40"/>
    </row>
    <row r="305" spans="1:2" ht="14.25" customHeight="1">
      <c r="A305" s="40"/>
      <c r="B305" s="40"/>
    </row>
    <row r="306" spans="1:2" ht="14.25" customHeight="1">
      <c r="A306" s="40"/>
      <c r="B306" s="40"/>
    </row>
    <row r="307" spans="1:2" ht="14.25" customHeight="1">
      <c r="A307" s="40"/>
      <c r="B307" s="40"/>
    </row>
    <row r="308" spans="1:2" ht="14.25" customHeight="1">
      <c r="A308" s="40"/>
      <c r="B308" s="40"/>
    </row>
    <row r="309" spans="1:2" ht="14.25" customHeight="1">
      <c r="A309" s="40"/>
      <c r="B309" s="40"/>
    </row>
    <row r="310" spans="1:2" ht="14.25" customHeight="1">
      <c r="A310" s="40"/>
      <c r="B310" s="40"/>
    </row>
    <row r="311" spans="1:2" ht="14.25" customHeight="1">
      <c r="A311" s="40"/>
      <c r="B311" s="40"/>
    </row>
    <row r="312" spans="1:2" ht="14.25" customHeight="1">
      <c r="A312" s="40"/>
      <c r="B312" s="40"/>
    </row>
    <row r="313" spans="1:2" ht="14.25" customHeight="1">
      <c r="A313" s="40"/>
      <c r="B313" s="40"/>
    </row>
    <row r="314" spans="1:2" ht="14.25" customHeight="1">
      <c r="A314" s="40"/>
      <c r="B314" s="40"/>
    </row>
    <row r="315" spans="1:2" ht="14.25" customHeight="1">
      <c r="A315" s="40"/>
      <c r="B315" s="40"/>
    </row>
    <row r="316" spans="1:2" ht="14.25" customHeight="1">
      <c r="A316" s="40"/>
      <c r="B316" s="40"/>
    </row>
    <row r="317" spans="1:2" ht="14.25" customHeight="1">
      <c r="A317" s="40"/>
      <c r="B317" s="40"/>
    </row>
    <row r="318" spans="1:2" ht="14.25" customHeight="1">
      <c r="A318" s="40"/>
      <c r="B318" s="40"/>
    </row>
    <row r="319" spans="1:2" ht="14.25" customHeight="1">
      <c r="A319" s="40"/>
      <c r="B319" s="40"/>
    </row>
    <row r="320" spans="1:2" ht="14.25" customHeight="1">
      <c r="A320" s="40"/>
      <c r="B320" s="40"/>
    </row>
    <row r="321" spans="1:2" ht="14.25" customHeight="1">
      <c r="A321" s="40"/>
      <c r="B321" s="40"/>
    </row>
    <row r="322" spans="1:2" ht="14.25" customHeight="1">
      <c r="A322" s="40"/>
      <c r="B322" s="40"/>
    </row>
    <row r="323" spans="1:2" ht="14.25" customHeight="1">
      <c r="A323" s="40"/>
      <c r="B323" s="40"/>
    </row>
    <row r="324" spans="1:2" ht="14.25" customHeight="1">
      <c r="A324" s="40"/>
      <c r="B324" s="40"/>
    </row>
    <row r="325" spans="1:2" ht="14.25" customHeight="1">
      <c r="A325" s="40"/>
      <c r="B325" s="40"/>
    </row>
    <row r="326" spans="1:2" ht="14.25" customHeight="1">
      <c r="A326" s="40"/>
      <c r="B326" s="40"/>
    </row>
    <row r="327" spans="1:2" ht="14.25" customHeight="1">
      <c r="A327" s="40"/>
      <c r="B327" s="40"/>
    </row>
    <row r="328" spans="1:2" ht="14.25" customHeight="1">
      <c r="A328" s="40"/>
      <c r="B328" s="40"/>
    </row>
    <row r="329" spans="1:2" ht="14.25" customHeight="1">
      <c r="A329" s="40"/>
      <c r="B329" s="40"/>
    </row>
    <row r="330" spans="1:2" ht="14.25" customHeight="1">
      <c r="A330" s="40"/>
      <c r="B330" s="40"/>
    </row>
    <row r="331" spans="1:2" ht="14.25" customHeight="1">
      <c r="A331" s="40"/>
      <c r="B331" s="40"/>
    </row>
    <row r="332" spans="1:2" ht="14.25" customHeight="1">
      <c r="A332" s="40"/>
      <c r="B332" s="40"/>
    </row>
    <row r="333" spans="1:2" ht="14.25" customHeight="1">
      <c r="A333" s="40"/>
      <c r="B333" s="40"/>
    </row>
    <row r="334" spans="1:2" ht="14.25" customHeight="1">
      <c r="A334" s="40"/>
      <c r="B334" s="40"/>
    </row>
    <row r="335" spans="1:2" ht="14.25" customHeight="1">
      <c r="A335" s="40"/>
      <c r="B335" s="40"/>
    </row>
    <row r="336" spans="1:2" ht="14.25" customHeight="1">
      <c r="A336" s="40"/>
      <c r="B336" s="40"/>
    </row>
    <row r="337" spans="1:2" ht="14.25" customHeight="1">
      <c r="A337" s="40"/>
      <c r="B337" s="40"/>
    </row>
    <row r="338" spans="1:2" ht="14.25" customHeight="1">
      <c r="A338" s="40"/>
      <c r="B338" s="40"/>
    </row>
    <row r="339" spans="1:2" ht="14.25" customHeight="1">
      <c r="A339" s="40"/>
      <c r="B339" s="40"/>
    </row>
    <row r="340" spans="1:2" ht="14.25" customHeight="1">
      <c r="A340" s="40"/>
      <c r="B340" s="40"/>
    </row>
    <row r="341" spans="1:2" ht="14.25" customHeight="1">
      <c r="A341" s="40"/>
      <c r="B341" s="40"/>
    </row>
    <row r="342" spans="1:2" ht="14.25" customHeight="1">
      <c r="A342" s="40"/>
      <c r="B342" s="40"/>
    </row>
    <row r="343" spans="1:2" ht="14.25" customHeight="1">
      <c r="A343" s="40"/>
      <c r="B343" s="40"/>
    </row>
    <row r="344" spans="1:2" ht="14.25" customHeight="1">
      <c r="A344" s="40"/>
      <c r="B344" s="40"/>
    </row>
    <row r="345" spans="1:2" ht="14.25" customHeight="1">
      <c r="A345" s="40"/>
      <c r="B345" s="40"/>
    </row>
    <row r="346" spans="1:2" ht="14.25" customHeight="1">
      <c r="A346" s="40"/>
      <c r="B346" s="40"/>
    </row>
    <row r="347" spans="1:2" ht="14.25" customHeight="1">
      <c r="A347" s="40"/>
      <c r="B347" s="40"/>
    </row>
    <row r="348" spans="1:2" ht="14.25" customHeight="1">
      <c r="A348" s="40"/>
      <c r="B348" s="40"/>
    </row>
    <row r="349" spans="1:2" ht="14.25" customHeight="1">
      <c r="A349" s="40"/>
      <c r="B349" s="40"/>
    </row>
    <row r="350" spans="1:2" ht="14.25" customHeight="1">
      <c r="A350" s="40"/>
      <c r="B350" s="40"/>
    </row>
    <row r="351" spans="1:2" ht="14.25" customHeight="1">
      <c r="A351" s="40"/>
      <c r="B351" s="40"/>
    </row>
    <row r="352" spans="1:2" ht="14.25" customHeight="1">
      <c r="A352" s="40"/>
      <c r="B352" s="40"/>
    </row>
    <row r="353" spans="1:2" ht="14.25" customHeight="1">
      <c r="A353" s="40"/>
      <c r="B353" s="40"/>
    </row>
    <row r="354" spans="1:2" ht="14.25" customHeight="1">
      <c r="A354" s="40"/>
      <c r="B354" s="40"/>
    </row>
    <row r="355" spans="1:2" ht="14.25" customHeight="1">
      <c r="A355" s="40"/>
      <c r="B355" s="40"/>
    </row>
    <row r="356" spans="1:2" ht="14.25" customHeight="1">
      <c r="A356" s="40"/>
      <c r="B356" s="40"/>
    </row>
    <row r="357" spans="1:2" ht="14.25" customHeight="1">
      <c r="A357" s="40"/>
      <c r="B357" s="40"/>
    </row>
    <row r="358" spans="1:2" ht="14.25" customHeight="1">
      <c r="A358" s="40"/>
      <c r="B358" s="40"/>
    </row>
    <row r="359" spans="1:2" ht="14.25" customHeight="1">
      <c r="A359" s="40"/>
      <c r="B359" s="40"/>
    </row>
    <row r="360" spans="1:2" ht="14.25" customHeight="1">
      <c r="A360" s="40"/>
      <c r="B360" s="40"/>
    </row>
    <row r="361" spans="1:2" ht="14.25" customHeight="1">
      <c r="A361" s="40"/>
      <c r="B361" s="40"/>
    </row>
    <row r="362" spans="1:2" ht="14.25" customHeight="1">
      <c r="A362" s="40"/>
      <c r="B362" s="40"/>
    </row>
    <row r="363" spans="1:2" ht="14.25" customHeight="1">
      <c r="A363" s="40"/>
      <c r="B363" s="40"/>
    </row>
    <row r="364" spans="1:2" ht="14.25" customHeight="1">
      <c r="A364" s="40"/>
      <c r="B364" s="40"/>
    </row>
    <row r="365" spans="1:2" ht="14.25" customHeight="1">
      <c r="A365" s="40"/>
      <c r="B365" s="40"/>
    </row>
    <row r="366" spans="1:2" ht="14.25" customHeight="1">
      <c r="A366" s="40"/>
      <c r="B366" s="40"/>
    </row>
    <row r="367" spans="1:2" ht="14.25" customHeight="1">
      <c r="A367" s="40"/>
      <c r="B367" s="40"/>
    </row>
    <row r="368" spans="1:2" ht="14.25" customHeight="1">
      <c r="A368" s="40"/>
      <c r="B368" s="40"/>
    </row>
    <row r="369" spans="1:2" ht="14.25" customHeight="1">
      <c r="A369" s="40"/>
      <c r="B369" s="40"/>
    </row>
    <row r="370" spans="1:2" ht="14.25" customHeight="1">
      <c r="A370" s="40"/>
      <c r="B370" s="40"/>
    </row>
    <row r="371" spans="1:2" ht="14.25" customHeight="1">
      <c r="A371" s="40"/>
      <c r="B371" s="40"/>
    </row>
    <row r="372" spans="1:2" ht="14.25" customHeight="1">
      <c r="A372" s="40"/>
      <c r="B372" s="40"/>
    </row>
    <row r="373" spans="1:2" ht="14.25" customHeight="1">
      <c r="A373" s="40"/>
      <c r="B373" s="40"/>
    </row>
    <row r="374" spans="1:2" ht="14.25" customHeight="1">
      <c r="A374" s="40"/>
      <c r="B374" s="40"/>
    </row>
    <row r="375" spans="1:2" ht="14.25" customHeight="1">
      <c r="A375" s="40"/>
      <c r="B375" s="40"/>
    </row>
    <row r="376" spans="1:2" ht="14.25" customHeight="1">
      <c r="A376" s="40"/>
      <c r="B376" s="40"/>
    </row>
    <row r="377" spans="1:2" ht="14.25" customHeight="1">
      <c r="A377" s="40"/>
      <c r="B377" s="40"/>
    </row>
    <row r="378" spans="1:2" ht="14.25" customHeight="1">
      <c r="A378" s="40"/>
      <c r="B378" s="40"/>
    </row>
    <row r="379" spans="1:2" ht="14.25" customHeight="1">
      <c r="A379" s="40"/>
      <c r="B379" s="40"/>
    </row>
    <row r="380" spans="1:2" ht="14.25" customHeight="1">
      <c r="A380" s="40"/>
      <c r="B380" s="40"/>
    </row>
    <row r="381" spans="1:2" ht="14.25" customHeight="1">
      <c r="A381" s="40"/>
      <c r="B381" s="40"/>
    </row>
    <row r="382" spans="1:2" ht="14.25" customHeight="1">
      <c r="A382" s="40"/>
      <c r="B382" s="40"/>
    </row>
    <row r="383" spans="1:2" ht="14.25" customHeight="1">
      <c r="A383" s="40"/>
      <c r="B383" s="40"/>
    </row>
    <row r="384" spans="1:2" ht="14.25" customHeight="1">
      <c r="A384" s="40"/>
      <c r="B384" s="40"/>
    </row>
    <row r="385" spans="1:2" ht="14.25" customHeight="1">
      <c r="A385" s="40"/>
      <c r="B385" s="40"/>
    </row>
    <row r="386" spans="1:2" ht="14.25" customHeight="1">
      <c r="A386" s="40"/>
      <c r="B386" s="40"/>
    </row>
    <row r="387" spans="1:2" ht="14.25" customHeight="1">
      <c r="A387" s="40"/>
      <c r="B387" s="40"/>
    </row>
    <row r="388" spans="1:2" ht="14.25" customHeight="1">
      <c r="A388" s="40"/>
      <c r="B388" s="40"/>
    </row>
    <row r="389" spans="1:2" ht="14.25" customHeight="1">
      <c r="A389" s="40"/>
      <c r="B389" s="40"/>
    </row>
    <row r="390" spans="1:2" ht="14.25" customHeight="1">
      <c r="A390" s="40"/>
      <c r="B390" s="40"/>
    </row>
    <row r="391" spans="1:2" ht="14.25" customHeight="1">
      <c r="A391" s="40"/>
      <c r="B391" s="40"/>
    </row>
    <row r="392" spans="1:2" ht="14.25" customHeight="1">
      <c r="A392" s="40"/>
      <c r="B392" s="40"/>
    </row>
    <row r="393" spans="1:2" ht="14.25" customHeight="1">
      <c r="A393" s="40"/>
      <c r="B393" s="40"/>
    </row>
    <row r="394" spans="1:2" ht="14.25" customHeight="1">
      <c r="A394" s="40"/>
      <c r="B394" s="40"/>
    </row>
    <row r="395" spans="1:2" ht="14.25" customHeight="1">
      <c r="A395" s="40"/>
      <c r="B395" s="40"/>
    </row>
    <row r="396" spans="1:2" ht="14.25" customHeight="1">
      <c r="A396" s="40"/>
      <c r="B396" s="40"/>
    </row>
    <row r="397" spans="1:2" ht="14.25" customHeight="1">
      <c r="A397" s="40"/>
      <c r="B397" s="40"/>
    </row>
    <row r="398" spans="1:2" ht="14.25" customHeight="1">
      <c r="A398" s="40"/>
      <c r="B398" s="40"/>
    </row>
    <row r="399" spans="1:2" ht="14.25" customHeight="1">
      <c r="A399" s="40"/>
      <c r="B399" s="40"/>
    </row>
    <row r="400" spans="1:2" ht="14.25" customHeight="1">
      <c r="A400" s="40"/>
      <c r="B400" s="40"/>
    </row>
    <row r="401" spans="1:2" ht="14.25" customHeight="1">
      <c r="A401" s="40"/>
      <c r="B401" s="40"/>
    </row>
    <row r="402" spans="1:2" ht="14.25" customHeight="1">
      <c r="A402" s="40"/>
      <c r="B402" s="40"/>
    </row>
    <row r="403" spans="1:2" ht="14.25" customHeight="1">
      <c r="A403" s="40"/>
      <c r="B403" s="40"/>
    </row>
    <row r="404" spans="1:2" ht="14.25" customHeight="1">
      <c r="A404" s="40"/>
      <c r="B404" s="40"/>
    </row>
    <row r="405" spans="1:2" ht="14.25" customHeight="1">
      <c r="A405" s="40"/>
      <c r="B405" s="40"/>
    </row>
    <row r="406" spans="1:2" ht="14.25" customHeight="1">
      <c r="A406" s="40"/>
      <c r="B406" s="40"/>
    </row>
    <row r="407" spans="1:2" ht="14.25" customHeight="1">
      <c r="A407" s="40"/>
      <c r="B407" s="40"/>
    </row>
    <row r="408" spans="1:2" ht="14.25" customHeight="1">
      <c r="A408" s="40"/>
      <c r="B408" s="40"/>
    </row>
    <row r="409" spans="1:2" ht="14.25" customHeight="1">
      <c r="A409" s="40"/>
      <c r="B409" s="40"/>
    </row>
    <row r="410" spans="1:2" ht="14.25" customHeight="1">
      <c r="A410" s="40"/>
      <c r="B410" s="40"/>
    </row>
    <row r="411" spans="1:2" ht="14.25" customHeight="1">
      <c r="A411" s="40"/>
      <c r="B411" s="40"/>
    </row>
    <row r="412" spans="1:2" ht="14.25" customHeight="1">
      <c r="A412" s="40"/>
      <c r="B412" s="40"/>
    </row>
    <row r="413" spans="1:2" ht="14.25" customHeight="1">
      <c r="A413" s="40"/>
      <c r="B413" s="40"/>
    </row>
    <row r="414" spans="1:2" ht="14.25" customHeight="1">
      <c r="A414" s="40"/>
      <c r="B414" s="40"/>
    </row>
    <row r="415" spans="1:2" ht="14.25" customHeight="1">
      <c r="A415" s="40"/>
      <c r="B415" s="40"/>
    </row>
    <row r="416" spans="1:2" ht="14.25" customHeight="1">
      <c r="A416" s="40"/>
      <c r="B416" s="40"/>
    </row>
    <row r="417" spans="1:2" ht="14.25" customHeight="1">
      <c r="A417" s="40"/>
      <c r="B417" s="40"/>
    </row>
    <row r="418" spans="1:2" ht="14.25" customHeight="1">
      <c r="A418" s="40"/>
      <c r="B418" s="40"/>
    </row>
    <row r="419" spans="1:2" ht="14.25" customHeight="1">
      <c r="A419" s="40"/>
      <c r="B419" s="40"/>
    </row>
    <row r="420" spans="1:2" ht="14.25" customHeight="1">
      <c r="A420" s="40"/>
      <c r="B420" s="40"/>
    </row>
    <row r="421" spans="1:2" ht="14.25" customHeight="1">
      <c r="A421" s="40"/>
      <c r="B421" s="40"/>
    </row>
    <row r="422" spans="1:2" ht="14.25" customHeight="1">
      <c r="A422" s="40"/>
      <c r="B422" s="40"/>
    </row>
    <row r="423" spans="1:2" ht="14.25" customHeight="1">
      <c r="A423" s="40"/>
      <c r="B423" s="40"/>
    </row>
    <row r="424" spans="1:2" ht="14.25" customHeight="1">
      <c r="A424" s="40"/>
      <c r="B424" s="40"/>
    </row>
    <row r="425" spans="1:2" ht="14.25" customHeight="1">
      <c r="A425" s="40"/>
      <c r="B425" s="40"/>
    </row>
    <row r="426" spans="1:2" ht="14.25" customHeight="1">
      <c r="A426" s="40"/>
      <c r="B426" s="40"/>
    </row>
    <row r="427" spans="1:2" ht="14.25" customHeight="1">
      <c r="A427" s="40"/>
      <c r="B427" s="40"/>
    </row>
    <row r="428" spans="1:2" ht="14.25" customHeight="1">
      <c r="A428" s="40"/>
      <c r="B428" s="40"/>
    </row>
    <row r="429" spans="1:2" ht="14.25" customHeight="1">
      <c r="A429" s="40"/>
      <c r="B429" s="40"/>
    </row>
    <row r="430" spans="1:2" ht="14.25" customHeight="1">
      <c r="A430" s="40"/>
      <c r="B430" s="40"/>
    </row>
    <row r="431" spans="1:2" ht="14.25" customHeight="1">
      <c r="A431" s="40"/>
      <c r="B431" s="40"/>
    </row>
    <row r="432" spans="1:2" ht="14.25" customHeight="1">
      <c r="A432" s="40"/>
      <c r="B432" s="40"/>
    </row>
    <row r="433" spans="1:2" ht="14.25" customHeight="1">
      <c r="A433" s="40"/>
      <c r="B433" s="40"/>
    </row>
    <row r="434" spans="1:2" ht="14.25" customHeight="1">
      <c r="A434" s="40"/>
      <c r="B434" s="40"/>
    </row>
    <row r="435" spans="1:2" ht="14.25" customHeight="1">
      <c r="A435" s="40"/>
      <c r="B435" s="40"/>
    </row>
    <row r="436" spans="1:2" ht="14.25" customHeight="1">
      <c r="A436" s="40"/>
      <c r="B436" s="40"/>
    </row>
    <row r="437" spans="1:2" ht="14.25" customHeight="1">
      <c r="A437" s="40"/>
      <c r="B437" s="40"/>
    </row>
    <row r="438" spans="1:2" ht="14.25" customHeight="1">
      <c r="A438" s="40"/>
      <c r="B438" s="40"/>
    </row>
    <row r="439" spans="1:2" ht="14.25" customHeight="1">
      <c r="A439" s="40"/>
      <c r="B439" s="40"/>
    </row>
    <row r="440" spans="1:2" ht="14.25" customHeight="1">
      <c r="A440" s="40"/>
      <c r="B440" s="40"/>
    </row>
    <row r="441" spans="1:2" ht="14.25" customHeight="1">
      <c r="A441" s="40"/>
      <c r="B441" s="40"/>
    </row>
    <row r="442" spans="1:2" ht="14.25" customHeight="1">
      <c r="A442" s="40"/>
      <c r="B442" s="40"/>
    </row>
    <row r="443" spans="1:2" ht="14.25" customHeight="1">
      <c r="A443" s="40"/>
      <c r="B443" s="40"/>
    </row>
    <row r="444" spans="1:2" ht="14.25" customHeight="1">
      <c r="A444" s="40"/>
      <c r="B444" s="40"/>
    </row>
    <row r="445" spans="1:2" ht="14.25" customHeight="1">
      <c r="A445" s="40"/>
      <c r="B445" s="40"/>
    </row>
    <row r="446" spans="1:2" ht="14.25" customHeight="1">
      <c r="A446" s="40"/>
      <c r="B446" s="40"/>
    </row>
    <row r="447" spans="1:2" ht="14.25" customHeight="1">
      <c r="A447" s="40"/>
      <c r="B447" s="40"/>
    </row>
    <row r="448" spans="1:2" ht="14.25" customHeight="1">
      <c r="A448" s="40"/>
      <c r="B448" s="40"/>
    </row>
    <row r="449" spans="1:2" ht="14.25" customHeight="1">
      <c r="A449" s="40"/>
      <c r="B449" s="40"/>
    </row>
    <row r="450" spans="1:2" ht="14.25" customHeight="1">
      <c r="A450" s="40"/>
      <c r="B450" s="40"/>
    </row>
    <row r="451" spans="1:2" ht="14.25" customHeight="1">
      <c r="A451" s="40"/>
      <c r="B451" s="40"/>
    </row>
    <row r="452" spans="1:2" ht="14.25" customHeight="1">
      <c r="A452" s="40"/>
      <c r="B452" s="40"/>
    </row>
    <row r="453" spans="1:2" ht="14.25" customHeight="1">
      <c r="A453" s="40"/>
      <c r="B453" s="40"/>
    </row>
    <row r="454" spans="1:2" ht="14.25" customHeight="1">
      <c r="A454" s="40"/>
      <c r="B454" s="40"/>
    </row>
    <row r="455" spans="1:2" ht="14.25" customHeight="1">
      <c r="A455" s="40"/>
      <c r="B455" s="40"/>
    </row>
    <row r="456" spans="1:2" ht="14.25" customHeight="1">
      <c r="A456" s="40"/>
      <c r="B456" s="40"/>
    </row>
    <row r="457" spans="1:2" ht="14.25" customHeight="1">
      <c r="A457" s="40"/>
      <c r="B457" s="40"/>
    </row>
    <row r="458" spans="1:2" ht="14.25" customHeight="1">
      <c r="A458" s="40"/>
      <c r="B458" s="40"/>
    </row>
    <row r="459" spans="1:2" ht="14.25" customHeight="1">
      <c r="A459" s="40"/>
      <c r="B459" s="40"/>
    </row>
    <row r="460" spans="1:2" ht="14.25" customHeight="1">
      <c r="A460" s="40"/>
      <c r="B460" s="40"/>
    </row>
    <row r="461" spans="1:2" ht="14.25" customHeight="1">
      <c r="A461" s="40"/>
      <c r="B461" s="40"/>
    </row>
    <row r="462" spans="1:2" ht="14.25" customHeight="1">
      <c r="A462" s="40"/>
      <c r="B462" s="40"/>
    </row>
    <row r="463" spans="1:2" ht="14.25" customHeight="1">
      <c r="A463" s="40"/>
      <c r="B463" s="40"/>
    </row>
    <row r="464" spans="1:2" ht="14.25" customHeight="1">
      <c r="A464" s="40"/>
      <c r="B464" s="40"/>
    </row>
    <row r="465" spans="1:2" ht="14.25" customHeight="1">
      <c r="A465" s="40"/>
      <c r="B465" s="40"/>
    </row>
    <row r="466" spans="1:2" ht="14.25" customHeight="1">
      <c r="A466" s="40"/>
      <c r="B466" s="40"/>
    </row>
    <row r="467" spans="1:2" ht="14.25" customHeight="1">
      <c r="A467" s="40"/>
      <c r="B467" s="40"/>
    </row>
    <row r="468" spans="1:2" ht="14.25" customHeight="1">
      <c r="A468" s="40"/>
      <c r="B468" s="40"/>
    </row>
    <row r="469" spans="1:2" ht="14.25" customHeight="1">
      <c r="A469" s="40"/>
      <c r="B469" s="40"/>
    </row>
    <row r="470" spans="1:2" ht="14.25" customHeight="1">
      <c r="A470" s="40"/>
      <c r="B470" s="40"/>
    </row>
    <row r="471" spans="1:2" ht="14.25" customHeight="1">
      <c r="A471" s="40"/>
      <c r="B471" s="40"/>
    </row>
    <row r="472" spans="1:2" ht="14.25" customHeight="1">
      <c r="A472" s="40"/>
      <c r="B472" s="40"/>
    </row>
    <row r="473" spans="1:2" ht="14.25" customHeight="1">
      <c r="A473" s="40"/>
      <c r="B473" s="40"/>
    </row>
    <row r="474" spans="1:2" ht="14.25" customHeight="1">
      <c r="A474" s="40"/>
      <c r="B474" s="40"/>
    </row>
    <row r="475" spans="1:2" ht="14.25" customHeight="1">
      <c r="A475" s="40"/>
      <c r="B475" s="40"/>
    </row>
    <row r="476" spans="1:2" ht="14.25" customHeight="1">
      <c r="A476" s="40"/>
      <c r="B476" s="40"/>
    </row>
    <row r="477" spans="1:2" ht="14.25" customHeight="1">
      <c r="A477" s="40"/>
      <c r="B477" s="40"/>
    </row>
    <row r="478" spans="1:2" ht="14.25" customHeight="1">
      <c r="A478" s="40"/>
      <c r="B478" s="40"/>
    </row>
    <row r="479" spans="1:2" ht="14.25" customHeight="1">
      <c r="A479" s="40"/>
      <c r="B479" s="40"/>
    </row>
    <row r="480" spans="1:2" ht="14.25" customHeight="1">
      <c r="A480" s="40"/>
      <c r="B480" s="40"/>
    </row>
    <row r="481" spans="1:2" ht="14.25" customHeight="1">
      <c r="A481" s="40"/>
      <c r="B481" s="40"/>
    </row>
    <row r="482" spans="1:2" ht="14.25" customHeight="1">
      <c r="A482" s="40"/>
      <c r="B482" s="40"/>
    </row>
    <row r="483" spans="1:2" ht="14.25" customHeight="1">
      <c r="A483" s="40"/>
      <c r="B483" s="40"/>
    </row>
    <row r="484" spans="1:2" ht="14.25" customHeight="1">
      <c r="A484" s="40"/>
      <c r="B484" s="40"/>
    </row>
    <row r="485" spans="1:2" ht="14.25" customHeight="1">
      <c r="A485" s="40"/>
      <c r="B485" s="40"/>
    </row>
    <row r="486" spans="1:2" ht="14.25" customHeight="1">
      <c r="A486" s="40"/>
      <c r="B486" s="40"/>
    </row>
    <row r="487" spans="1:2" ht="14.25" customHeight="1">
      <c r="A487" s="40"/>
      <c r="B487" s="40"/>
    </row>
    <row r="488" spans="1:2" ht="14.25" customHeight="1">
      <c r="A488" s="40"/>
      <c r="B488" s="40"/>
    </row>
    <row r="489" spans="1:2" ht="14.25" customHeight="1">
      <c r="A489" s="40"/>
      <c r="B489" s="40"/>
    </row>
    <row r="490" spans="1:2" ht="14.25" customHeight="1">
      <c r="A490" s="40"/>
      <c r="B490" s="40"/>
    </row>
    <row r="491" spans="1:2" ht="14.25" customHeight="1">
      <c r="A491" s="40"/>
      <c r="B491" s="40"/>
    </row>
    <row r="492" spans="1:2" ht="14.25" customHeight="1">
      <c r="A492" s="40"/>
      <c r="B492" s="40"/>
    </row>
    <row r="493" spans="1:2" ht="14.25" customHeight="1">
      <c r="A493" s="40"/>
      <c r="B493" s="40"/>
    </row>
    <row r="494" spans="1:2" ht="14.25" customHeight="1">
      <c r="A494" s="40"/>
      <c r="B494" s="40"/>
    </row>
    <row r="495" spans="1:2" ht="14.25" customHeight="1">
      <c r="A495" s="40"/>
      <c r="B495" s="40"/>
    </row>
    <row r="496" spans="1:2" ht="14.25" customHeight="1">
      <c r="A496" s="40"/>
      <c r="B496" s="40"/>
    </row>
    <row r="497" spans="1:2" ht="14.25" customHeight="1">
      <c r="A497" s="40"/>
      <c r="B497" s="40"/>
    </row>
    <row r="498" spans="1:2" ht="14.25" customHeight="1">
      <c r="A498" s="40"/>
      <c r="B498" s="40"/>
    </row>
    <row r="499" spans="1:2" ht="14.25" customHeight="1">
      <c r="A499" s="40"/>
      <c r="B499" s="40"/>
    </row>
    <row r="500" spans="1:2" ht="14.25" customHeight="1">
      <c r="A500" s="40"/>
      <c r="B500" s="40"/>
    </row>
    <row r="501" spans="1:2" ht="14.25" customHeight="1">
      <c r="A501" s="40"/>
      <c r="B501" s="40"/>
    </row>
    <row r="502" spans="1:2" ht="14.25" customHeight="1">
      <c r="A502" s="40"/>
      <c r="B502" s="40"/>
    </row>
    <row r="503" spans="1:2" ht="14.25" customHeight="1">
      <c r="A503" s="40"/>
      <c r="B503" s="40"/>
    </row>
    <row r="504" spans="1:2" ht="14.25" customHeight="1">
      <c r="A504" s="40"/>
      <c r="B504" s="40"/>
    </row>
    <row r="505" spans="1:2" ht="14.25" customHeight="1">
      <c r="A505" s="40"/>
      <c r="B505" s="40"/>
    </row>
    <row r="506" spans="1:2" ht="14.25" customHeight="1">
      <c r="A506" s="40"/>
      <c r="B506" s="40"/>
    </row>
    <row r="507" spans="1:2" ht="14.25" customHeight="1">
      <c r="A507" s="40"/>
      <c r="B507" s="40"/>
    </row>
    <row r="508" spans="1:2" ht="14.25" customHeight="1">
      <c r="A508" s="40"/>
      <c r="B508" s="40"/>
    </row>
    <row r="509" spans="1:2" ht="14.25" customHeight="1">
      <c r="A509" s="40"/>
      <c r="B509" s="40"/>
    </row>
    <row r="510" spans="1:2" ht="14.25" customHeight="1">
      <c r="A510" s="40"/>
      <c r="B510" s="40"/>
    </row>
    <row r="511" spans="1:2" ht="14.25" customHeight="1">
      <c r="A511" s="40"/>
      <c r="B511" s="40"/>
    </row>
    <row r="512" spans="1:2" ht="14.25" customHeight="1">
      <c r="A512" s="40"/>
      <c r="B512" s="40"/>
    </row>
    <row r="513" spans="1:2" ht="14.25" customHeight="1">
      <c r="A513" s="40"/>
      <c r="B513" s="40"/>
    </row>
    <row r="514" spans="1:2" ht="14.25" customHeight="1">
      <c r="A514" s="40"/>
      <c r="B514" s="40"/>
    </row>
    <row r="515" spans="1:2" ht="14.25" customHeight="1">
      <c r="A515" s="40"/>
      <c r="B515" s="40"/>
    </row>
    <row r="516" spans="1:2" ht="14.25" customHeight="1">
      <c r="A516" s="40"/>
      <c r="B516" s="40"/>
    </row>
    <row r="517" spans="1:2" ht="14.25" customHeight="1">
      <c r="A517" s="40"/>
      <c r="B517" s="40"/>
    </row>
    <row r="518" spans="1:2" ht="14.25" customHeight="1">
      <c r="A518" s="40"/>
      <c r="B518" s="40"/>
    </row>
    <row r="519" spans="1:2" ht="14.25" customHeight="1">
      <c r="A519" s="40"/>
      <c r="B519" s="40"/>
    </row>
    <row r="520" spans="1:2" ht="14.25" customHeight="1">
      <c r="A520" s="40"/>
      <c r="B520" s="40"/>
    </row>
    <row r="521" spans="1:2" ht="14.25" customHeight="1">
      <c r="A521" s="40"/>
      <c r="B521" s="40"/>
    </row>
    <row r="522" spans="1:2" ht="14.25" customHeight="1">
      <c r="A522" s="40"/>
      <c r="B522" s="40"/>
    </row>
    <row r="523" spans="1:2" ht="14.25" customHeight="1">
      <c r="A523" s="40"/>
      <c r="B523" s="40"/>
    </row>
    <row r="524" spans="1:2" ht="14.25" customHeight="1">
      <c r="A524" s="40"/>
      <c r="B524" s="40"/>
    </row>
    <row r="525" spans="1:2" ht="14.25" customHeight="1">
      <c r="A525" s="40"/>
      <c r="B525" s="40"/>
    </row>
    <row r="526" spans="1:2" ht="14.25" customHeight="1">
      <c r="A526" s="40"/>
      <c r="B526" s="40"/>
    </row>
    <row r="527" spans="1:2" ht="14.25" customHeight="1">
      <c r="A527" s="40"/>
      <c r="B527" s="40"/>
    </row>
    <row r="528" spans="1:2" ht="14.25" customHeight="1">
      <c r="A528" s="40"/>
      <c r="B528" s="40"/>
    </row>
    <row r="529" spans="1:2" ht="14.25" customHeight="1">
      <c r="A529" s="40"/>
      <c r="B529" s="40"/>
    </row>
    <row r="530" spans="1:2" ht="14.25" customHeight="1">
      <c r="A530" s="40"/>
      <c r="B530" s="40"/>
    </row>
    <row r="531" spans="1:2" ht="14.25" customHeight="1">
      <c r="A531" s="40"/>
      <c r="B531" s="40"/>
    </row>
    <row r="532" spans="1:2" ht="14.25" customHeight="1">
      <c r="A532" s="40"/>
      <c r="B532" s="40"/>
    </row>
    <row r="533" spans="1:2" ht="14.25" customHeight="1">
      <c r="A533" s="40"/>
      <c r="B533" s="40"/>
    </row>
    <row r="534" spans="1:2" ht="14.25" customHeight="1">
      <c r="A534" s="40"/>
      <c r="B534" s="40"/>
    </row>
    <row r="535" spans="1:2" ht="14.25" customHeight="1">
      <c r="A535" s="40"/>
      <c r="B535" s="40"/>
    </row>
    <row r="536" spans="1:2" ht="14.25" customHeight="1">
      <c r="A536" s="40"/>
      <c r="B536" s="40"/>
    </row>
    <row r="537" spans="1:2" ht="14.25" customHeight="1">
      <c r="A537" s="40"/>
      <c r="B537" s="40"/>
    </row>
    <row r="538" spans="1:2" ht="14.25" customHeight="1">
      <c r="A538" s="40"/>
      <c r="B538" s="40"/>
    </row>
    <row r="539" spans="1:2" ht="14.25" customHeight="1">
      <c r="A539" s="40"/>
      <c r="B539" s="40"/>
    </row>
    <row r="540" spans="1:2" ht="14.25" customHeight="1">
      <c r="A540" s="40"/>
      <c r="B540" s="40"/>
    </row>
    <row r="541" spans="1:2" ht="14.25" customHeight="1">
      <c r="A541" s="40"/>
      <c r="B541" s="40"/>
    </row>
    <row r="542" spans="1:2" ht="14.25" customHeight="1">
      <c r="A542" s="40"/>
      <c r="B542" s="40"/>
    </row>
    <row r="543" spans="1:2" ht="14.25" customHeight="1">
      <c r="A543" s="40"/>
      <c r="B543" s="40"/>
    </row>
    <row r="544" spans="1:2" ht="14.25" customHeight="1">
      <c r="A544" s="40"/>
      <c r="B544" s="40"/>
    </row>
    <row r="545" spans="1:2" ht="14.25" customHeight="1">
      <c r="A545" s="40"/>
      <c r="B545" s="40"/>
    </row>
    <row r="546" spans="1:2" ht="14.25" customHeight="1">
      <c r="A546" s="40"/>
      <c r="B546" s="40"/>
    </row>
    <row r="547" spans="1:2" ht="14.25" customHeight="1">
      <c r="A547" s="40"/>
      <c r="B547" s="40"/>
    </row>
    <row r="548" spans="1:2" ht="14.25" customHeight="1">
      <c r="A548" s="40"/>
      <c r="B548" s="40"/>
    </row>
    <row r="549" spans="1:2" ht="14.25" customHeight="1">
      <c r="A549" s="40"/>
      <c r="B549" s="40"/>
    </row>
    <row r="550" spans="1:2" ht="14.25" customHeight="1">
      <c r="A550" s="40"/>
      <c r="B550" s="40"/>
    </row>
    <row r="551" spans="1:2" ht="14.25" customHeight="1">
      <c r="A551" s="40"/>
      <c r="B551" s="40"/>
    </row>
    <row r="552" spans="1:2" ht="14.25" customHeight="1">
      <c r="A552" s="40"/>
      <c r="B552" s="40"/>
    </row>
    <row r="553" spans="1:2" ht="14.25" customHeight="1">
      <c r="A553" s="40"/>
      <c r="B553" s="40"/>
    </row>
    <row r="554" spans="1:2" ht="14.25" customHeight="1">
      <c r="A554" s="40"/>
      <c r="B554" s="40"/>
    </row>
    <row r="555" spans="1:2" ht="14.25" customHeight="1">
      <c r="A555" s="40"/>
      <c r="B555" s="40"/>
    </row>
    <row r="556" spans="1:2" ht="14.25" customHeight="1">
      <c r="A556" s="40"/>
      <c r="B556" s="40"/>
    </row>
    <row r="557" spans="1:2" ht="14.25" customHeight="1">
      <c r="A557" s="40"/>
      <c r="B557" s="40"/>
    </row>
    <row r="558" spans="1:2" ht="14.25" customHeight="1">
      <c r="A558" s="40"/>
      <c r="B558" s="40"/>
    </row>
    <row r="559" spans="1:2" ht="14.25" customHeight="1">
      <c r="A559" s="40"/>
      <c r="B559" s="40"/>
    </row>
    <row r="560" spans="1:2" ht="14.25" customHeight="1">
      <c r="A560" s="40"/>
      <c r="B560" s="40"/>
    </row>
    <row r="561" spans="1:2" ht="14.25" customHeight="1">
      <c r="A561" s="40"/>
      <c r="B561" s="40"/>
    </row>
    <row r="562" spans="1:2" ht="14.25" customHeight="1">
      <c r="A562" s="40"/>
      <c r="B562" s="40"/>
    </row>
    <row r="563" spans="1:2" ht="14.25" customHeight="1">
      <c r="A563" s="40"/>
      <c r="B563" s="40"/>
    </row>
    <row r="564" spans="1:2" ht="14.25" customHeight="1">
      <c r="A564" s="40"/>
      <c r="B564" s="40"/>
    </row>
    <row r="565" spans="1:2" ht="14.25" customHeight="1">
      <c r="A565" s="40"/>
      <c r="B565" s="40"/>
    </row>
    <row r="566" spans="1:2" ht="14.25" customHeight="1">
      <c r="A566" s="40"/>
      <c r="B566" s="40"/>
    </row>
    <row r="567" spans="1:2" ht="14.25" customHeight="1">
      <c r="A567" s="40"/>
      <c r="B567" s="40"/>
    </row>
    <row r="568" spans="1:2" ht="14.25" customHeight="1">
      <c r="A568" s="40"/>
      <c r="B568" s="40"/>
    </row>
    <row r="569" spans="1:2" ht="14.25" customHeight="1">
      <c r="A569" s="40"/>
      <c r="B569" s="40"/>
    </row>
    <row r="570" spans="1:2" ht="14.25" customHeight="1">
      <c r="A570" s="40"/>
      <c r="B570" s="40"/>
    </row>
    <row r="571" spans="1:2" ht="14.25" customHeight="1">
      <c r="A571" s="40"/>
      <c r="B571" s="40"/>
    </row>
    <row r="572" spans="1:2" ht="14.25" customHeight="1">
      <c r="A572" s="40"/>
      <c r="B572" s="40"/>
    </row>
    <row r="573" spans="1:2" ht="14.25" customHeight="1">
      <c r="A573" s="40"/>
      <c r="B573" s="40"/>
    </row>
    <row r="574" spans="1:2" ht="14.25" customHeight="1">
      <c r="A574" s="40"/>
      <c r="B574" s="40"/>
    </row>
    <row r="575" spans="1:2" ht="14.25" customHeight="1">
      <c r="A575" s="40"/>
      <c r="B575" s="40"/>
    </row>
    <row r="576" spans="1:2" ht="14.25" customHeight="1">
      <c r="A576" s="40"/>
      <c r="B576" s="40"/>
    </row>
    <row r="577" spans="1:2" ht="14.25" customHeight="1">
      <c r="A577" s="40"/>
      <c r="B577" s="40"/>
    </row>
    <row r="578" spans="1:2" ht="14.25" customHeight="1">
      <c r="A578" s="40"/>
      <c r="B578" s="40"/>
    </row>
    <row r="579" spans="1:2" ht="14.25" customHeight="1">
      <c r="A579" s="40"/>
      <c r="B579" s="40"/>
    </row>
    <row r="580" spans="1:2" ht="14.25" customHeight="1">
      <c r="A580" s="40"/>
      <c r="B580" s="40"/>
    </row>
    <row r="581" spans="1:2" ht="14.25" customHeight="1">
      <c r="A581" s="40"/>
      <c r="B581" s="40"/>
    </row>
    <row r="582" spans="1:2" ht="14.25" customHeight="1">
      <c r="A582" s="40"/>
      <c r="B582" s="40"/>
    </row>
    <row r="583" spans="1:2" ht="14.25" customHeight="1">
      <c r="A583" s="40"/>
      <c r="B583" s="40"/>
    </row>
    <row r="584" spans="1:2" ht="14.25" customHeight="1">
      <c r="A584" s="40"/>
      <c r="B584" s="40"/>
    </row>
    <row r="585" spans="1:2" ht="14.25" customHeight="1">
      <c r="A585" s="40"/>
      <c r="B585" s="40"/>
    </row>
    <row r="586" spans="1:2" ht="14.25" customHeight="1">
      <c r="A586" s="40"/>
      <c r="B586" s="40"/>
    </row>
    <row r="587" spans="1:2" ht="14.25" customHeight="1">
      <c r="A587" s="40"/>
      <c r="B587" s="40"/>
    </row>
    <row r="588" spans="1:2" ht="14.25" customHeight="1">
      <c r="A588" s="40"/>
      <c r="B588" s="40"/>
    </row>
    <row r="589" spans="1:2" ht="14.25" customHeight="1">
      <c r="A589" s="40"/>
      <c r="B589" s="40"/>
    </row>
    <row r="590" spans="1:2" ht="14.25" customHeight="1">
      <c r="A590" s="40"/>
      <c r="B590" s="40"/>
    </row>
    <row r="591" spans="1:2" ht="14.25" customHeight="1">
      <c r="A591" s="40"/>
      <c r="B591" s="40"/>
    </row>
    <row r="592" spans="1:2" ht="14.25" customHeight="1">
      <c r="A592" s="40"/>
      <c r="B592" s="40"/>
    </row>
    <row r="593" spans="1:2" ht="14.25" customHeight="1">
      <c r="A593" s="40"/>
      <c r="B593" s="40"/>
    </row>
    <row r="594" spans="1:2" ht="14.25" customHeight="1">
      <c r="A594" s="40"/>
      <c r="B594" s="40"/>
    </row>
    <row r="595" spans="1:2" ht="14.25" customHeight="1">
      <c r="A595" s="40"/>
      <c r="B595" s="40"/>
    </row>
    <row r="596" spans="1:2" ht="14.25" customHeight="1">
      <c r="A596" s="40"/>
      <c r="B596" s="40"/>
    </row>
    <row r="597" spans="1:2" ht="14.25" customHeight="1">
      <c r="A597" s="40"/>
      <c r="B597" s="40"/>
    </row>
    <row r="598" spans="1:2" ht="14.25" customHeight="1">
      <c r="A598" s="40"/>
      <c r="B598" s="40"/>
    </row>
    <row r="599" spans="1:2" ht="14.25" customHeight="1">
      <c r="A599" s="40"/>
      <c r="B599" s="40"/>
    </row>
    <row r="600" spans="1:2" ht="14.25" customHeight="1">
      <c r="A600" s="40"/>
      <c r="B600" s="40"/>
    </row>
    <row r="601" spans="1:2" ht="14.25" customHeight="1">
      <c r="A601" s="40"/>
      <c r="B601" s="40"/>
    </row>
    <row r="602" spans="1:2" ht="14.25" customHeight="1">
      <c r="A602" s="40"/>
      <c r="B602" s="40"/>
    </row>
    <row r="603" spans="1:2" ht="14.25" customHeight="1">
      <c r="A603" s="40"/>
      <c r="B603" s="40"/>
    </row>
    <row r="604" spans="1:2" ht="14.25" customHeight="1">
      <c r="A604" s="40"/>
      <c r="B604" s="40"/>
    </row>
    <row r="605" spans="1:2" ht="14.25" customHeight="1">
      <c r="A605" s="40"/>
      <c r="B605" s="40"/>
    </row>
    <row r="606" spans="1:2" ht="14.25" customHeight="1">
      <c r="A606" s="40"/>
      <c r="B606" s="40"/>
    </row>
    <row r="607" spans="1:2" ht="14.25" customHeight="1">
      <c r="A607" s="40"/>
      <c r="B607" s="40"/>
    </row>
    <row r="608" spans="1:2" ht="14.25" customHeight="1">
      <c r="A608" s="40"/>
      <c r="B608" s="40"/>
    </row>
    <row r="609" spans="1:2" ht="14.25" customHeight="1">
      <c r="A609" s="40"/>
      <c r="B609" s="40"/>
    </row>
    <row r="610" spans="1:2" ht="14.25" customHeight="1">
      <c r="A610" s="40"/>
      <c r="B610" s="40"/>
    </row>
    <row r="611" spans="1:2" ht="14.25" customHeight="1">
      <c r="A611" s="40"/>
      <c r="B611" s="40"/>
    </row>
    <row r="612" spans="1:2" ht="14.25" customHeight="1">
      <c r="A612" s="40"/>
      <c r="B612" s="40"/>
    </row>
    <row r="613" spans="1:2" ht="14.25" customHeight="1">
      <c r="A613" s="40"/>
      <c r="B613" s="40"/>
    </row>
    <row r="614" spans="1:2" ht="14.25" customHeight="1">
      <c r="A614" s="40"/>
      <c r="B614" s="40"/>
    </row>
    <row r="615" spans="1:2" ht="14.25" customHeight="1">
      <c r="A615" s="40"/>
      <c r="B615" s="40"/>
    </row>
    <row r="616" spans="1:2" ht="14.25" customHeight="1">
      <c r="A616" s="40"/>
      <c r="B616" s="40"/>
    </row>
    <row r="617" spans="1:2" ht="14.25" customHeight="1">
      <c r="A617" s="40"/>
      <c r="B617" s="40"/>
    </row>
    <row r="618" spans="1:2" ht="14.25" customHeight="1">
      <c r="A618" s="40"/>
      <c r="B618" s="40"/>
    </row>
    <row r="619" spans="1:2" ht="14.25" customHeight="1">
      <c r="A619" s="40"/>
      <c r="B619" s="40"/>
    </row>
    <row r="620" spans="1:2" ht="14.25" customHeight="1">
      <c r="A620" s="40"/>
      <c r="B620" s="40"/>
    </row>
    <row r="621" spans="1:2" ht="14.25" customHeight="1">
      <c r="A621" s="40"/>
      <c r="B621" s="40"/>
    </row>
    <row r="622" spans="1:2" ht="14.25" customHeight="1">
      <c r="A622" s="40"/>
      <c r="B622" s="40"/>
    </row>
    <row r="623" spans="1:2" ht="14.25" customHeight="1">
      <c r="A623" s="40"/>
      <c r="B623" s="40"/>
    </row>
    <row r="624" spans="1:2" ht="14.25" customHeight="1">
      <c r="A624" s="40"/>
      <c r="B624" s="40"/>
    </row>
    <row r="625" spans="1:2" ht="14.25" customHeight="1">
      <c r="A625" s="40"/>
      <c r="B625" s="40"/>
    </row>
    <row r="626" spans="1:2" ht="14.25" customHeight="1">
      <c r="A626" s="40"/>
      <c r="B626" s="40"/>
    </row>
    <row r="627" spans="1:2" ht="14.25" customHeight="1">
      <c r="A627" s="40"/>
      <c r="B627" s="40"/>
    </row>
    <row r="628" spans="1:2" ht="14.25" customHeight="1">
      <c r="A628" s="40"/>
      <c r="B628" s="40"/>
    </row>
    <row r="629" spans="1:2" ht="14.25" customHeight="1">
      <c r="A629" s="40"/>
      <c r="B629" s="40"/>
    </row>
    <row r="630" spans="1:2" ht="14.25" customHeight="1">
      <c r="A630" s="40"/>
      <c r="B630" s="40"/>
    </row>
    <row r="631" spans="1:2" ht="14.25" customHeight="1">
      <c r="A631" s="40"/>
      <c r="B631" s="40"/>
    </row>
    <row r="632" spans="1:2" ht="14.25" customHeight="1">
      <c r="A632" s="40"/>
      <c r="B632" s="40"/>
    </row>
    <row r="633" spans="1:2" ht="14.25" customHeight="1">
      <c r="A633" s="40"/>
      <c r="B633" s="40"/>
    </row>
    <row r="634" spans="1:2" ht="14.25" customHeight="1">
      <c r="A634" s="40"/>
      <c r="B634" s="40"/>
    </row>
    <row r="635" spans="1:2" ht="14.25" customHeight="1">
      <c r="A635" s="40"/>
      <c r="B635" s="40"/>
    </row>
    <row r="636" spans="1:2" ht="14.25" customHeight="1">
      <c r="A636" s="40"/>
      <c r="B636" s="40"/>
    </row>
    <row r="637" spans="1:2" ht="14.25" customHeight="1">
      <c r="A637" s="40"/>
      <c r="B637" s="40"/>
    </row>
    <row r="638" spans="1:2" ht="14.25" customHeight="1">
      <c r="A638" s="40"/>
      <c r="B638" s="40"/>
    </row>
    <row r="639" spans="1:2" ht="14.25" customHeight="1">
      <c r="A639" s="40"/>
      <c r="B639" s="40"/>
    </row>
    <row r="640" spans="1:2" ht="14.25" customHeight="1">
      <c r="A640" s="40"/>
      <c r="B640" s="40"/>
    </row>
    <row r="641" spans="1:2" ht="14.25" customHeight="1">
      <c r="A641" s="40"/>
      <c r="B641" s="40"/>
    </row>
    <row r="642" spans="1:2" ht="14.25" customHeight="1">
      <c r="A642" s="40"/>
      <c r="B642" s="40"/>
    </row>
    <row r="643" spans="1:2" ht="14.25" customHeight="1">
      <c r="A643" s="40"/>
      <c r="B643" s="40"/>
    </row>
    <row r="644" spans="1:2" ht="14.25" customHeight="1">
      <c r="A644" s="40"/>
      <c r="B644" s="40"/>
    </row>
    <row r="645" spans="1:2" ht="14.25" customHeight="1">
      <c r="A645" s="40"/>
      <c r="B645" s="40"/>
    </row>
    <row r="646" spans="1:2" ht="14.25" customHeight="1">
      <c r="A646" s="40"/>
      <c r="B646" s="40"/>
    </row>
    <row r="647" spans="1:2" ht="14.25" customHeight="1">
      <c r="A647" s="40"/>
      <c r="B647" s="40"/>
    </row>
    <row r="648" spans="1:2" ht="14.25" customHeight="1">
      <c r="A648" s="40"/>
      <c r="B648" s="40"/>
    </row>
    <row r="649" spans="1:2" ht="14.25" customHeight="1">
      <c r="A649" s="40"/>
      <c r="B649" s="40"/>
    </row>
    <row r="650" spans="1:2" ht="14.25" customHeight="1">
      <c r="A650" s="40"/>
      <c r="B650" s="40"/>
    </row>
    <row r="651" spans="1:2" ht="14.25" customHeight="1">
      <c r="A651" s="40"/>
      <c r="B651" s="40"/>
    </row>
    <row r="652" spans="1:2" ht="14.25" customHeight="1">
      <c r="A652" s="40"/>
      <c r="B652" s="40"/>
    </row>
    <row r="653" spans="1:2" ht="14.25" customHeight="1">
      <c r="A653" s="40"/>
      <c r="B653" s="40"/>
    </row>
    <row r="654" spans="1:2" ht="14.25" customHeight="1">
      <c r="A654" s="40"/>
      <c r="B654" s="40"/>
    </row>
    <row r="655" spans="1:2" ht="14.25" customHeight="1">
      <c r="A655" s="40"/>
      <c r="B655" s="40"/>
    </row>
    <row r="656" spans="1:2" ht="14.25" customHeight="1">
      <c r="A656" s="40"/>
      <c r="B656" s="40"/>
    </row>
    <row r="657" spans="1:2" ht="14.25" customHeight="1">
      <c r="A657" s="40"/>
      <c r="B657" s="40"/>
    </row>
    <row r="658" spans="1:2" ht="14.25" customHeight="1">
      <c r="A658" s="40"/>
      <c r="B658" s="40"/>
    </row>
    <row r="659" spans="1:2" ht="14.25" customHeight="1">
      <c r="A659" s="40"/>
      <c r="B659" s="40"/>
    </row>
    <row r="660" spans="1:2" ht="14.25" customHeight="1">
      <c r="A660" s="40"/>
      <c r="B660" s="40"/>
    </row>
    <row r="661" spans="1:2" ht="14.25" customHeight="1">
      <c r="A661" s="40"/>
      <c r="B661" s="40"/>
    </row>
    <row r="662" spans="1:2" ht="14.25" customHeight="1">
      <c r="A662" s="40"/>
      <c r="B662" s="40"/>
    </row>
    <row r="663" spans="1:2" ht="14.25" customHeight="1">
      <c r="A663" s="40"/>
      <c r="B663" s="40"/>
    </row>
    <row r="664" spans="1:2" ht="14.25" customHeight="1">
      <c r="A664" s="40"/>
      <c r="B664" s="40"/>
    </row>
    <row r="665" spans="1:2" ht="14.25" customHeight="1">
      <c r="A665" s="40"/>
      <c r="B665" s="40"/>
    </row>
    <row r="666" spans="1:2" ht="14.25" customHeight="1">
      <c r="A666" s="40"/>
      <c r="B666" s="40"/>
    </row>
    <row r="667" spans="1:2" ht="14.25" customHeight="1">
      <c r="A667" s="40"/>
      <c r="B667" s="40"/>
    </row>
    <row r="668" spans="1:2" ht="14.25" customHeight="1">
      <c r="A668" s="40"/>
      <c r="B668" s="40"/>
    </row>
    <row r="669" spans="1:2" ht="14.25" customHeight="1">
      <c r="A669" s="40"/>
      <c r="B669" s="40"/>
    </row>
    <row r="670" spans="1:2" ht="14.25" customHeight="1">
      <c r="A670" s="40"/>
      <c r="B670" s="40"/>
    </row>
    <row r="671" spans="1:2" ht="14.25" customHeight="1">
      <c r="A671" s="40"/>
      <c r="B671" s="40"/>
    </row>
    <row r="672" spans="1:2" ht="14.25" customHeight="1">
      <c r="A672" s="40"/>
      <c r="B672" s="40"/>
    </row>
    <row r="673" spans="1:2" ht="14.25" customHeight="1">
      <c r="A673" s="40"/>
      <c r="B673" s="40"/>
    </row>
    <row r="674" spans="1:2" ht="14.25" customHeight="1">
      <c r="A674" s="40"/>
      <c r="B674" s="40"/>
    </row>
    <row r="675" spans="1:2" ht="14.25" customHeight="1">
      <c r="A675" s="40"/>
      <c r="B675" s="40"/>
    </row>
    <row r="676" spans="1:2" ht="14.25" customHeight="1">
      <c r="A676" s="40"/>
      <c r="B676" s="40"/>
    </row>
    <row r="677" spans="1:2" ht="14.25" customHeight="1">
      <c r="A677" s="40"/>
      <c r="B677" s="40"/>
    </row>
    <row r="678" spans="1:2" ht="14.25" customHeight="1">
      <c r="A678" s="40"/>
      <c r="B678" s="40"/>
    </row>
    <row r="679" spans="1:2" ht="14.25" customHeight="1">
      <c r="A679" s="40"/>
      <c r="B679" s="40"/>
    </row>
    <row r="680" spans="1:2" ht="14.25" customHeight="1">
      <c r="A680" s="40"/>
      <c r="B680" s="40"/>
    </row>
    <row r="681" spans="1:2" ht="14.25" customHeight="1">
      <c r="A681" s="40"/>
      <c r="B681" s="40"/>
    </row>
    <row r="682" spans="1:2" ht="14.25" customHeight="1">
      <c r="A682" s="40"/>
      <c r="B682" s="40"/>
    </row>
    <row r="683" spans="1:2" ht="14.25" customHeight="1">
      <c r="A683" s="40"/>
      <c r="B683" s="40"/>
    </row>
    <row r="684" spans="1:2" ht="14.25" customHeight="1">
      <c r="A684" s="40"/>
      <c r="B684" s="40"/>
    </row>
    <row r="685" spans="1:2" ht="14.25" customHeight="1">
      <c r="A685" s="40"/>
      <c r="B685" s="40"/>
    </row>
    <row r="686" spans="1:2" ht="14.25" customHeight="1">
      <c r="A686" s="40"/>
      <c r="B686" s="40"/>
    </row>
    <row r="687" spans="1:2" ht="14.25" customHeight="1">
      <c r="A687" s="40"/>
      <c r="B687" s="40"/>
    </row>
    <row r="688" spans="1:2" ht="14.25" customHeight="1">
      <c r="A688" s="40"/>
      <c r="B688" s="40"/>
    </row>
    <row r="689" spans="1:2" ht="14.25" customHeight="1">
      <c r="A689" s="40"/>
      <c r="B689" s="40"/>
    </row>
    <row r="690" spans="1:2" ht="14.25" customHeight="1">
      <c r="A690" s="40"/>
      <c r="B690" s="40"/>
    </row>
    <row r="691" spans="1:2" ht="14.25" customHeight="1">
      <c r="A691" s="40"/>
      <c r="B691" s="40"/>
    </row>
    <row r="692" spans="1:2" ht="14.25" customHeight="1">
      <c r="A692" s="40"/>
      <c r="B692" s="40"/>
    </row>
    <row r="693" spans="1:2" ht="14.25" customHeight="1">
      <c r="A693" s="40"/>
      <c r="B693" s="40"/>
    </row>
    <row r="694" spans="1:2" ht="14.25" customHeight="1">
      <c r="A694" s="40"/>
      <c r="B694" s="40"/>
    </row>
    <row r="695" spans="1:2" ht="14.25" customHeight="1">
      <c r="A695" s="40"/>
      <c r="B695" s="40"/>
    </row>
    <row r="696" spans="1:2" ht="14.25" customHeight="1">
      <c r="A696" s="40"/>
      <c r="B696" s="40"/>
    </row>
    <row r="697" spans="1:2" ht="14.25" customHeight="1">
      <c r="A697" s="40"/>
      <c r="B697" s="40"/>
    </row>
    <row r="698" spans="1:2" ht="14.25" customHeight="1">
      <c r="A698" s="40"/>
      <c r="B698" s="40"/>
    </row>
    <row r="699" spans="1:2" ht="14.25" customHeight="1">
      <c r="A699" s="40"/>
      <c r="B699" s="40"/>
    </row>
    <row r="700" spans="1:2" ht="14.25" customHeight="1">
      <c r="A700" s="40"/>
      <c r="B700" s="40"/>
    </row>
    <row r="701" spans="1:2" ht="14.25" customHeight="1">
      <c r="A701" s="40"/>
      <c r="B701" s="40"/>
    </row>
    <row r="702" spans="1:2" ht="14.25" customHeight="1">
      <c r="A702" s="40"/>
      <c r="B702" s="40"/>
    </row>
    <row r="703" spans="1:2" ht="14.25" customHeight="1">
      <c r="A703" s="40"/>
      <c r="B703" s="40"/>
    </row>
    <row r="704" spans="1:2" ht="14.25" customHeight="1">
      <c r="A704" s="40"/>
      <c r="B704" s="40"/>
    </row>
    <row r="705" spans="1:2" ht="14.25" customHeight="1">
      <c r="A705" s="40"/>
      <c r="B705" s="40"/>
    </row>
    <row r="706" spans="1:2" ht="14.25" customHeight="1">
      <c r="A706" s="40"/>
      <c r="B706" s="40"/>
    </row>
    <row r="707" spans="1:2" ht="14.25" customHeight="1">
      <c r="A707" s="40"/>
      <c r="B707" s="40"/>
    </row>
    <row r="708" spans="1:2" ht="14.25" customHeight="1">
      <c r="A708" s="40"/>
      <c r="B708" s="40"/>
    </row>
    <row r="709" spans="1:2" ht="14.25" customHeight="1">
      <c r="A709" s="40"/>
      <c r="B709" s="40"/>
    </row>
    <row r="710" spans="1:2" ht="14.25" customHeight="1">
      <c r="A710" s="40"/>
      <c r="B710" s="40"/>
    </row>
    <row r="711" spans="1:2" ht="14.25" customHeight="1">
      <c r="A711" s="40"/>
      <c r="B711" s="40"/>
    </row>
    <row r="712" spans="1:2" ht="14.25" customHeight="1">
      <c r="A712" s="40"/>
      <c r="B712" s="40"/>
    </row>
    <row r="713" spans="1:2" ht="14.25" customHeight="1">
      <c r="A713" s="40"/>
      <c r="B713" s="40"/>
    </row>
    <row r="714" spans="1:2" ht="14.25" customHeight="1">
      <c r="A714" s="40"/>
      <c r="B714" s="40"/>
    </row>
    <row r="715" spans="1:2" ht="14.25" customHeight="1">
      <c r="A715" s="40"/>
      <c r="B715" s="40"/>
    </row>
    <row r="716" spans="1:2" ht="14.25" customHeight="1">
      <c r="A716" s="40"/>
      <c r="B716" s="40"/>
    </row>
    <row r="717" spans="1:2" ht="14.25" customHeight="1">
      <c r="A717" s="40"/>
      <c r="B717" s="40"/>
    </row>
    <row r="718" spans="1:2" ht="14.25" customHeight="1">
      <c r="A718" s="40"/>
      <c r="B718" s="40"/>
    </row>
    <row r="719" spans="1:2" ht="14.25" customHeight="1">
      <c r="A719" s="40"/>
      <c r="B719" s="40"/>
    </row>
    <row r="720" spans="1:2" ht="14.25" customHeight="1">
      <c r="A720" s="40"/>
      <c r="B720" s="40"/>
    </row>
    <row r="721" spans="1:2" ht="14.25" customHeight="1">
      <c r="A721" s="40"/>
      <c r="B721" s="40"/>
    </row>
    <row r="722" spans="1:2" ht="14.25" customHeight="1">
      <c r="A722" s="40"/>
      <c r="B722" s="40"/>
    </row>
    <row r="723" spans="1:2" ht="14.25" customHeight="1">
      <c r="A723" s="40"/>
      <c r="B723" s="40"/>
    </row>
    <row r="724" spans="1:2" ht="14.25" customHeight="1">
      <c r="A724" s="40"/>
      <c r="B724" s="40"/>
    </row>
    <row r="725" spans="1:2" ht="14.25" customHeight="1">
      <c r="A725" s="40"/>
      <c r="B725" s="40"/>
    </row>
    <row r="726" spans="1:2" ht="14.25" customHeight="1">
      <c r="A726" s="40"/>
      <c r="B726" s="40"/>
    </row>
    <row r="727" spans="1:2" ht="14.25" customHeight="1">
      <c r="A727" s="40"/>
      <c r="B727" s="40"/>
    </row>
    <row r="728" spans="1:2" ht="14.25" customHeight="1">
      <c r="A728" s="40"/>
      <c r="B728" s="40"/>
    </row>
    <row r="729" spans="1:2" ht="14.25" customHeight="1">
      <c r="A729" s="40"/>
      <c r="B729" s="40"/>
    </row>
    <row r="730" spans="1:2" ht="14.25" customHeight="1">
      <c r="A730" s="40"/>
      <c r="B730" s="40"/>
    </row>
    <row r="731" spans="1:2" ht="14.25" customHeight="1">
      <c r="A731" s="40"/>
      <c r="B731" s="40"/>
    </row>
    <row r="732" spans="1:2" ht="14.25" customHeight="1">
      <c r="A732" s="40"/>
      <c r="B732" s="40"/>
    </row>
    <row r="733" spans="1:2" ht="14.25" customHeight="1">
      <c r="A733" s="40"/>
      <c r="B733" s="40"/>
    </row>
    <row r="734" spans="1:2" ht="14.25" customHeight="1">
      <c r="A734" s="40"/>
      <c r="B734" s="40"/>
    </row>
    <row r="735" spans="1:2" ht="14.25" customHeight="1">
      <c r="A735" s="40"/>
      <c r="B735" s="40"/>
    </row>
    <row r="736" spans="1:2" ht="14.25" customHeight="1">
      <c r="A736" s="40"/>
      <c r="B736" s="40"/>
    </row>
    <row r="737" spans="1:2" ht="14.25" customHeight="1">
      <c r="A737" s="40"/>
      <c r="B737" s="40"/>
    </row>
    <row r="738" spans="1:2" ht="14.25" customHeight="1">
      <c r="A738" s="40"/>
      <c r="B738" s="40"/>
    </row>
    <row r="739" spans="1:2" ht="14.25" customHeight="1">
      <c r="A739" s="40"/>
      <c r="B739" s="40"/>
    </row>
    <row r="740" spans="1:2" ht="14.25" customHeight="1">
      <c r="A740" s="40"/>
      <c r="B740" s="40"/>
    </row>
    <row r="741" spans="1:2" ht="14.25" customHeight="1">
      <c r="A741" s="40"/>
      <c r="B741" s="40"/>
    </row>
    <row r="742" spans="1:2" ht="14.25" customHeight="1">
      <c r="A742" s="40"/>
      <c r="B742" s="40"/>
    </row>
    <row r="743" spans="1:2" ht="14.25" customHeight="1">
      <c r="A743" s="40"/>
      <c r="B743" s="40"/>
    </row>
    <row r="744" spans="1:2" ht="14.25" customHeight="1">
      <c r="A744" s="40"/>
      <c r="B744" s="40"/>
    </row>
    <row r="745" spans="1:2" ht="14.25" customHeight="1">
      <c r="A745" s="40"/>
      <c r="B745" s="40"/>
    </row>
    <row r="746" spans="1:2" ht="14.25" customHeight="1">
      <c r="A746" s="40"/>
      <c r="B746" s="40"/>
    </row>
    <row r="747" spans="1:2" ht="14.25" customHeight="1">
      <c r="A747" s="40"/>
      <c r="B747" s="40"/>
    </row>
    <row r="748" spans="1:2" ht="14.25" customHeight="1">
      <c r="A748" s="40"/>
      <c r="B748" s="40"/>
    </row>
    <row r="749" spans="1:2" ht="14.25" customHeight="1">
      <c r="A749" s="40"/>
      <c r="B749" s="40"/>
    </row>
    <row r="750" spans="1:2" ht="14.25" customHeight="1">
      <c r="A750" s="40"/>
      <c r="B750" s="40"/>
    </row>
    <row r="751" spans="1:2" ht="14.25" customHeight="1">
      <c r="A751" s="40"/>
      <c r="B751" s="40"/>
    </row>
    <row r="752" spans="1:2" ht="14.25" customHeight="1">
      <c r="A752" s="40"/>
      <c r="B752" s="40"/>
    </row>
    <row r="753" spans="1:2" ht="14.25" customHeight="1">
      <c r="A753" s="40"/>
      <c r="B753" s="40"/>
    </row>
    <row r="754" spans="1:2" ht="14.25" customHeight="1">
      <c r="A754" s="40"/>
      <c r="B754" s="40"/>
    </row>
    <row r="755" spans="1:2" ht="14.25" customHeight="1">
      <c r="A755" s="40"/>
      <c r="B755" s="40"/>
    </row>
    <row r="756" spans="1:2" ht="14.25" customHeight="1">
      <c r="A756" s="40"/>
      <c r="B756" s="40"/>
    </row>
    <row r="757" spans="1:2" ht="14.25" customHeight="1">
      <c r="A757" s="40"/>
      <c r="B757" s="40"/>
    </row>
    <row r="758" spans="1:2" ht="14.25" customHeight="1">
      <c r="A758" s="40"/>
      <c r="B758" s="40"/>
    </row>
    <row r="759" spans="1:2" ht="14.25" customHeight="1">
      <c r="A759" s="40"/>
      <c r="B759" s="40"/>
    </row>
    <row r="760" spans="1:2" ht="14.25" customHeight="1">
      <c r="A760" s="40"/>
      <c r="B760" s="40"/>
    </row>
    <row r="761" spans="1:2" ht="14.25" customHeight="1">
      <c r="A761" s="40"/>
      <c r="B761" s="40"/>
    </row>
    <row r="762" spans="1:2" ht="14.25" customHeight="1">
      <c r="A762" s="40"/>
      <c r="B762" s="40"/>
    </row>
    <row r="763" spans="1:2" ht="14.25" customHeight="1">
      <c r="A763" s="40"/>
      <c r="B763" s="40"/>
    </row>
    <row r="764" spans="1:2" ht="14.25" customHeight="1">
      <c r="A764" s="40"/>
      <c r="B764" s="40"/>
    </row>
    <row r="765" spans="1:2" ht="14.25" customHeight="1">
      <c r="A765" s="40"/>
      <c r="B765" s="40"/>
    </row>
    <row r="766" spans="1:2" ht="14.25" customHeight="1">
      <c r="A766" s="40"/>
      <c r="B766" s="40"/>
    </row>
    <row r="767" spans="1:2" ht="14.25" customHeight="1">
      <c r="A767" s="40"/>
      <c r="B767" s="40"/>
    </row>
    <row r="768" spans="1:2" ht="14.25" customHeight="1">
      <c r="A768" s="40"/>
      <c r="B768" s="40"/>
    </row>
    <row r="769" spans="1:2" ht="14.25" customHeight="1">
      <c r="A769" s="40"/>
      <c r="B769" s="40"/>
    </row>
    <row r="770" spans="1:2" ht="14.25" customHeight="1">
      <c r="A770" s="40"/>
      <c r="B770" s="40"/>
    </row>
    <row r="771" spans="1:2" ht="14.25" customHeight="1">
      <c r="A771" s="40"/>
      <c r="B771" s="40"/>
    </row>
    <row r="772" spans="1:2" ht="14.25" customHeight="1">
      <c r="A772" s="40"/>
      <c r="B772" s="40"/>
    </row>
    <row r="773" spans="1:2" ht="14.25" customHeight="1">
      <c r="A773" s="40"/>
      <c r="B773" s="40"/>
    </row>
    <row r="774" spans="1:2" ht="14.25" customHeight="1">
      <c r="A774" s="40"/>
      <c r="B774" s="40"/>
    </row>
    <row r="775" spans="1:2" ht="14.25" customHeight="1">
      <c r="A775" s="40"/>
      <c r="B775" s="40"/>
    </row>
    <row r="776" spans="1:2" ht="14.25" customHeight="1">
      <c r="A776" s="40"/>
      <c r="B776" s="40"/>
    </row>
    <row r="777" spans="1:2" ht="14.25" customHeight="1">
      <c r="A777" s="40"/>
      <c r="B777" s="40"/>
    </row>
    <row r="778" spans="1:2" ht="14.25" customHeight="1">
      <c r="A778" s="40"/>
      <c r="B778" s="40"/>
    </row>
    <row r="779" spans="1:2" ht="14.25" customHeight="1">
      <c r="A779" s="40"/>
      <c r="B779" s="40"/>
    </row>
    <row r="780" spans="1:2" ht="14.25" customHeight="1">
      <c r="A780" s="40"/>
      <c r="B780" s="40"/>
    </row>
    <row r="781" spans="1:2" ht="14.25" customHeight="1">
      <c r="A781" s="40"/>
      <c r="B781" s="40"/>
    </row>
    <row r="782" spans="1:2" ht="14.25" customHeight="1">
      <c r="A782" s="40"/>
      <c r="B782" s="40"/>
    </row>
    <row r="783" spans="1:2" ht="14.25" customHeight="1">
      <c r="A783" s="40"/>
      <c r="B783" s="40"/>
    </row>
    <row r="784" spans="1:2" ht="14.25" customHeight="1">
      <c r="A784" s="40"/>
      <c r="B784" s="40"/>
    </row>
    <row r="785" spans="1:2" ht="14.25" customHeight="1">
      <c r="A785" s="40"/>
      <c r="B785" s="40"/>
    </row>
    <row r="786" spans="1:2" ht="14.25" customHeight="1">
      <c r="A786" s="40"/>
      <c r="B786" s="40"/>
    </row>
    <row r="787" spans="1:2" ht="14.25" customHeight="1">
      <c r="A787" s="40"/>
      <c r="B787" s="40"/>
    </row>
    <row r="788" spans="1:2" ht="14.25" customHeight="1">
      <c r="A788" s="40"/>
      <c r="B788" s="40"/>
    </row>
    <row r="789" spans="1:2" ht="14.25" customHeight="1">
      <c r="A789" s="40"/>
      <c r="B789" s="40"/>
    </row>
    <row r="790" spans="1:2" ht="14.25" customHeight="1">
      <c r="A790" s="40"/>
      <c r="B790" s="40"/>
    </row>
    <row r="791" spans="1:2" ht="14.25" customHeight="1">
      <c r="A791" s="40"/>
      <c r="B791" s="40"/>
    </row>
    <row r="792" spans="1:2" ht="14.25" customHeight="1">
      <c r="A792" s="40"/>
      <c r="B792" s="40"/>
    </row>
    <row r="793" spans="1:2" ht="14.25" customHeight="1">
      <c r="A793" s="40"/>
      <c r="B793" s="40"/>
    </row>
    <row r="794" spans="1:2" ht="14.25" customHeight="1">
      <c r="A794" s="40"/>
      <c r="B794" s="40"/>
    </row>
    <row r="795" spans="1:2" ht="14.25" customHeight="1">
      <c r="A795" s="40"/>
      <c r="B795" s="40"/>
    </row>
    <row r="796" spans="1:2" ht="14.25" customHeight="1">
      <c r="A796" s="40"/>
      <c r="B796" s="40"/>
    </row>
    <row r="797" spans="1:2" ht="14.25" customHeight="1">
      <c r="A797" s="40"/>
      <c r="B797" s="40"/>
    </row>
    <row r="798" spans="1:2" ht="14.25" customHeight="1">
      <c r="A798" s="40"/>
      <c r="B798" s="40"/>
    </row>
    <row r="799" spans="1:2" ht="14.25" customHeight="1">
      <c r="A799" s="40"/>
      <c r="B799" s="40"/>
    </row>
    <row r="800" spans="1:2" ht="14.25" customHeight="1">
      <c r="A800" s="40"/>
      <c r="B800" s="40"/>
    </row>
    <row r="801" spans="1:2" ht="14.25" customHeight="1">
      <c r="A801" s="40"/>
      <c r="B801" s="40"/>
    </row>
    <row r="802" spans="1:2" ht="14.25" customHeight="1">
      <c r="A802" s="40"/>
      <c r="B802" s="40"/>
    </row>
    <row r="803" spans="1:2" ht="14.25" customHeight="1">
      <c r="A803" s="40"/>
      <c r="B803" s="40"/>
    </row>
    <row r="804" spans="1:2" ht="14.25" customHeight="1">
      <c r="A804" s="40"/>
      <c r="B804" s="40"/>
    </row>
    <row r="805" spans="1:2" ht="14.25" customHeight="1">
      <c r="A805" s="40"/>
      <c r="B805" s="40"/>
    </row>
    <row r="806" spans="1:2" ht="14.25" customHeight="1">
      <c r="A806" s="40"/>
      <c r="B806" s="40"/>
    </row>
    <row r="807" spans="1:2" ht="14.25" customHeight="1">
      <c r="A807" s="40"/>
      <c r="B807" s="40"/>
    </row>
    <row r="808" spans="1:2" ht="14.25" customHeight="1">
      <c r="A808" s="40"/>
      <c r="B808" s="40"/>
    </row>
    <row r="809" spans="1:2" ht="14.25" customHeight="1">
      <c r="A809" s="40"/>
      <c r="B809" s="40"/>
    </row>
    <row r="810" spans="1:2" ht="14.25" customHeight="1">
      <c r="A810" s="40"/>
      <c r="B810" s="40"/>
    </row>
    <row r="811" spans="1:2" ht="14.25" customHeight="1">
      <c r="A811" s="40"/>
      <c r="B811" s="40"/>
    </row>
    <row r="812" spans="1:2" ht="14.25" customHeight="1">
      <c r="A812" s="40"/>
      <c r="B812" s="40"/>
    </row>
    <row r="813" spans="1:2" ht="14.25" customHeight="1">
      <c r="A813" s="40"/>
      <c r="B813" s="40"/>
    </row>
    <row r="814" spans="1:2" ht="14.25" customHeight="1">
      <c r="A814" s="40"/>
      <c r="B814" s="40"/>
    </row>
    <row r="815" spans="1:2" ht="14.25" customHeight="1">
      <c r="A815" s="40"/>
      <c r="B815" s="40"/>
    </row>
    <row r="816" spans="1:2" ht="14.25" customHeight="1">
      <c r="A816" s="40"/>
      <c r="B816" s="40"/>
    </row>
    <row r="817" spans="1:2" ht="14.25" customHeight="1">
      <c r="A817" s="40"/>
      <c r="B817" s="40"/>
    </row>
    <row r="818" spans="1:2" ht="14.25" customHeight="1">
      <c r="A818" s="40"/>
      <c r="B818" s="40"/>
    </row>
    <row r="819" spans="1:2" ht="14.25" customHeight="1">
      <c r="A819" s="40"/>
      <c r="B819" s="40"/>
    </row>
    <row r="820" spans="1:2" ht="14.25" customHeight="1">
      <c r="A820" s="40"/>
      <c r="B820" s="40"/>
    </row>
    <row r="821" spans="1:2" ht="14.25" customHeight="1">
      <c r="A821" s="40"/>
      <c r="B821" s="40"/>
    </row>
    <row r="822" spans="1:2" ht="14.25" customHeight="1">
      <c r="A822" s="40"/>
      <c r="B822" s="40"/>
    </row>
    <row r="823" spans="1:2" ht="14.25" customHeight="1">
      <c r="A823" s="40"/>
      <c r="B823" s="40"/>
    </row>
    <row r="824" spans="1:2" ht="14.25" customHeight="1">
      <c r="A824" s="40"/>
      <c r="B824" s="40"/>
    </row>
    <row r="825" spans="1:2" ht="14.25" customHeight="1">
      <c r="A825" s="40"/>
      <c r="B825" s="40"/>
    </row>
    <row r="826" spans="1:2" ht="14.25" customHeight="1">
      <c r="A826" s="40"/>
      <c r="B826" s="40"/>
    </row>
    <row r="827" spans="1:2" ht="14.25" customHeight="1">
      <c r="A827" s="40"/>
      <c r="B827" s="40"/>
    </row>
    <row r="828" spans="1:2" ht="14.25" customHeight="1">
      <c r="A828" s="40"/>
      <c r="B828" s="40"/>
    </row>
    <row r="829" spans="1:2" ht="14.25" customHeight="1">
      <c r="A829" s="40"/>
      <c r="B829" s="40"/>
    </row>
    <row r="830" spans="1:2" ht="14.25" customHeight="1">
      <c r="A830" s="40"/>
      <c r="B830" s="40"/>
    </row>
    <row r="831" spans="1:2" ht="14.25" customHeight="1">
      <c r="A831" s="40"/>
      <c r="B831" s="40"/>
    </row>
    <row r="832" spans="1:2" ht="14.25" customHeight="1">
      <c r="A832" s="40"/>
      <c r="B832" s="40"/>
    </row>
    <row r="833" spans="1:2" ht="14.25" customHeight="1">
      <c r="A833" s="40"/>
      <c r="B833" s="40"/>
    </row>
    <row r="834" spans="1:2" ht="14.25" customHeight="1">
      <c r="A834" s="40"/>
      <c r="B834" s="40"/>
    </row>
    <row r="835" spans="1:2" ht="14.25" customHeight="1">
      <c r="A835" s="40"/>
      <c r="B835" s="40"/>
    </row>
    <row r="836" spans="1:2" ht="14.25" customHeight="1">
      <c r="A836" s="40"/>
      <c r="B836" s="40"/>
    </row>
    <row r="837" spans="1:2" ht="14.25" customHeight="1">
      <c r="A837" s="40"/>
      <c r="B837" s="40"/>
    </row>
    <row r="838" spans="1:2" ht="14.25" customHeight="1">
      <c r="A838" s="40"/>
      <c r="B838" s="40"/>
    </row>
    <row r="839" spans="1:2" ht="14.25" customHeight="1">
      <c r="A839" s="40"/>
      <c r="B839" s="40"/>
    </row>
    <row r="840" spans="1:2" ht="14.25" customHeight="1">
      <c r="A840" s="40"/>
      <c r="B840" s="40"/>
    </row>
    <row r="841" spans="1:2" ht="14.25" customHeight="1">
      <c r="A841" s="40"/>
      <c r="B841" s="40"/>
    </row>
    <row r="842" spans="1:2" ht="14.25" customHeight="1">
      <c r="A842" s="40"/>
      <c r="B842" s="40"/>
    </row>
    <row r="843" spans="1:2" ht="14.25" customHeight="1">
      <c r="A843" s="40"/>
      <c r="B843" s="40"/>
    </row>
    <row r="844" spans="1:2" ht="14.25" customHeight="1">
      <c r="A844" s="40"/>
      <c r="B844" s="40"/>
    </row>
    <row r="845" spans="1:2" ht="14.25" customHeight="1">
      <c r="A845" s="40"/>
      <c r="B845" s="40"/>
    </row>
    <row r="846" spans="1:2" ht="14.25" customHeight="1">
      <c r="A846" s="40"/>
      <c r="B846" s="40"/>
    </row>
    <row r="847" spans="1:2" ht="14.25" customHeight="1">
      <c r="A847" s="40"/>
      <c r="B847" s="40"/>
    </row>
    <row r="848" spans="1:2" ht="14.25" customHeight="1">
      <c r="A848" s="40"/>
      <c r="B848" s="40"/>
    </row>
    <row r="849" spans="1:2" ht="14.25" customHeight="1">
      <c r="A849" s="40"/>
      <c r="B849" s="40"/>
    </row>
    <row r="850" spans="1:2" ht="14.25" customHeight="1">
      <c r="A850" s="40"/>
      <c r="B850" s="40"/>
    </row>
    <row r="851" spans="1:2" ht="14.25" customHeight="1">
      <c r="A851" s="40"/>
      <c r="B851" s="40"/>
    </row>
    <row r="852" spans="1:2" ht="14.25" customHeight="1">
      <c r="A852" s="40"/>
      <c r="B852" s="40"/>
    </row>
    <row r="853" spans="1:2" ht="14.25" customHeight="1">
      <c r="A853" s="40"/>
      <c r="B853" s="40"/>
    </row>
    <row r="854" spans="1:2" ht="14.25" customHeight="1">
      <c r="A854" s="40"/>
      <c r="B854" s="40"/>
    </row>
    <row r="855" spans="1:2" ht="14.25" customHeight="1">
      <c r="A855" s="40"/>
      <c r="B855" s="40"/>
    </row>
    <row r="856" spans="1:2" ht="14.25" customHeight="1">
      <c r="A856" s="40"/>
      <c r="B856" s="40"/>
    </row>
    <row r="857" spans="1:2" ht="14.25" customHeight="1">
      <c r="A857" s="40"/>
      <c r="B857" s="40"/>
    </row>
    <row r="858" spans="1:2" ht="14.25" customHeight="1">
      <c r="A858" s="40"/>
      <c r="B858" s="40"/>
    </row>
    <row r="859" spans="1:2" ht="14.25" customHeight="1">
      <c r="A859" s="40"/>
      <c r="B859" s="40"/>
    </row>
    <row r="860" spans="1:2" ht="14.25" customHeight="1">
      <c r="A860" s="40"/>
      <c r="B860" s="40"/>
    </row>
    <row r="861" spans="1:2" ht="14.25" customHeight="1">
      <c r="A861" s="40"/>
      <c r="B861" s="40"/>
    </row>
    <row r="862" spans="1:2" ht="14.25" customHeight="1">
      <c r="A862" s="40"/>
      <c r="B862" s="40"/>
    </row>
    <row r="863" spans="1:2" ht="14.25" customHeight="1">
      <c r="A863" s="40"/>
      <c r="B863" s="40"/>
    </row>
    <row r="864" spans="1:2" ht="14.25" customHeight="1">
      <c r="A864" s="40"/>
      <c r="B864" s="40"/>
    </row>
    <row r="865" spans="1:2" ht="14.25" customHeight="1">
      <c r="A865" s="40"/>
      <c r="B865" s="40"/>
    </row>
    <row r="866" spans="1:2" ht="14.25" customHeight="1">
      <c r="A866" s="40"/>
      <c r="B866" s="40"/>
    </row>
    <row r="867" spans="1:2" ht="14.25" customHeight="1">
      <c r="A867" s="40"/>
      <c r="B867" s="40"/>
    </row>
    <row r="868" spans="1:2" ht="14.25" customHeight="1">
      <c r="A868" s="40"/>
      <c r="B868" s="40"/>
    </row>
    <row r="869" spans="1:2" ht="14.25" customHeight="1">
      <c r="A869" s="40"/>
      <c r="B869" s="40"/>
    </row>
    <row r="870" spans="1:2" ht="14.25" customHeight="1">
      <c r="A870" s="40"/>
      <c r="B870" s="40"/>
    </row>
    <row r="871" spans="1:2" ht="14.25" customHeight="1">
      <c r="A871" s="40"/>
      <c r="B871" s="40"/>
    </row>
    <row r="872" spans="1:2" ht="14.25" customHeight="1">
      <c r="A872" s="40"/>
      <c r="B872" s="40"/>
    </row>
    <row r="873" spans="1:2" ht="14.25" customHeight="1">
      <c r="A873" s="40"/>
      <c r="B873" s="40"/>
    </row>
    <row r="874" spans="1:2" ht="14.25" customHeight="1">
      <c r="A874" s="40"/>
      <c r="B874" s="40"/>
    </row>
    <row r="875" spans="1:2" ht="14.25" customHeight="1">
      <c r="A875" s="40"/>
      <c r="B875" s="40"/>
    </row>
    <row r="876" spans="1:2" ht="14.25" customHeight="1">
      <c r="A876" s="40"/>
      <c r="B876" s="40"/>
    </row>
    <row r="877" spans="1:2" ht="14.25" customHeight="1">
      <c r="A877" s="40"/>
      <c r="B877" s="40"/>
    </row>
    <row r="878" spans="1:2" ht="14.25" customHeight="1">
      <c r="A878" s="40"/>
      <c r="B878" s="40"/>
    </row>
    <row r="879" spans="1:2" ht="14.25" customHeight="1">
      <c r="A879" s="40"/>
      <c r="B879" s="40"/>
    </row>
    <row r="880" spans="1:2" ht="14.25" customHeight="1">
      <c r="A880" s="40"/>
      <c r="B880" s="40"/>
    </row>
    <row r="881" spans="1:2" ht="14.25" customHeight="1">
      <c r="A881" s="40"/>
      <c r="B881" s="40"/>
    </row>
    <row r="882" spans="1:2" ht="14.25" customHeight="1">
      <c r="A882" s="40"/>
      <c r="B882" s="40"/>
    </row>
    <row r="883" spans="1:2" ht="14.25" customHeight="1">
      <c r="A883" s="40"/>
      <c r="B883" s="40"/>
    </row>
    <row r="884" spans="1:2" ht="14.25" customHeight="1">
      <c r="A884" s="40"/>
      <c r="B884" s="40"/>
    </row>
    <row r="885" spans="1:2" ht="14.25" customHeight="1">
      <c r="A885" s="40"/>
      <c r="B885" s="40"/>
    </row>
    <row r="886" spans="1:2" ht="14.25" customHeight="1">
      <c r="A886" s="40"/>
      <c r="B886" s="40"/>
    </row>
    <row r="887" spans="1:2" ht="14.25" customHeight="1">
      <c r="A887" s="40"/>
      <c r="B887" s="40"/>
    </row>
    <row r="888" spans="1:2" ht="14.25" customHeight="1">
      <c r="A888" s="40"/>
      <c r="B888" s="40"/>
    </row>
    <row r="889" spans="1:2" ht="14.25" customHeight="1">
      <c r="A889" s="40"/>
      <c r="B889" s="40"/>
    </row>
    <row r="890" spans="1:2" ht="14.25" customHeight="1">
      <c r="A890" s="40"/>
      <c r="B890" s="40"/>
    </row>
    <row r="891" spans="1:2" ht="14.25" customHeight="1">
      <c r="A891" s="40"/>
      <c r="B891" s="40"/>
    </row>
    <row r="892" spans="1:2" ht="14.25" customHeight="1">
      <c r="A892" s="40"/>
      <c r="B892" s="40"/>
    </row>
    <row r="893" spans="1:2" ht="14.25" customHeight="1">
      <c r="A893" s="40"/>
      <c r="B893" s="40"/>
    </row>
    <row r="894" spans="1:2" ht="14.25" customHeight="1">
      <c r="A894" s="40"/>
      <c r="B894" s="40"/>
    </row>
    <row r="895" spans="1:2" ht="14.25" customHeight="1">
      <c r="A895" s="40"/>
      <c r="B895" s="40"/>
    </row>
    <row r="896" spans="1:2" ht="14.25" customHeight="1">
      <c r="A896" s="40"/>
      <c r="B896" s="40"/>
    </row>
    <row r="897" spans="1:2" ht="14.25" customHeight="1">
      <c r="A897" s="40"/>
      <c r="B897" s="40"/>
    </row>
    <row r="898" spans="1:2" ht="14.25" customHeight="1">
      <c r="A898" s="40"/>
      <c r="B898" s="40"/>
    </row>
    <row r="899" spans="1:2" ht="14.25" customHeight="1">
      <c r="A899" s="40"/>
      <c r="B899" s="40"/>
    </row>
    <row r="900" spans="1:2" ht="14.25" customHeight="1">
      <c r="A900" s="40"/>
      <c r="B900" s="40"/>
    </row>
    <row r="901" spans="1:2" ht="14.25" customHeight="1">
      <c r="A901" s="40"/>
      <c r="B901" s="40"/>
    </row>
    <row r="902" spans="1:2" ht="14.25" customHeight="1">
      <c r="A902" s="40"/>
      <c r="B902" s="40"/>
    </row>
    <row r="903" spans="1:2" ht="14.25" customHeight="1">
      <c r="A903" s="40"/>
      <c r="B903" s="40"/>
    </row>
    <row r="904" spans="1:2" ht="14.25" customHeight="1">
      <c r="A904" s="40"/>
      <c r="B904" s="40"/>
    </row>
    <row r="905" spans="1:2" ht="14.25" customHeight="1">
      <c r="A905" s="40"/>
      <c r="B905" s="40"/>
    </row>
    <row r="906" spans="1:2" ht="14.25" customHeight="1">
      <c r="A906" s="40"/>
      <c r="B906" s="40"/>
    </row>
    <row r="907" spans="1:2" ht="14.25" customHeight="1">
      <c r="A907" s="40"/>
      <c r="B907" s="40"/>
    </row>
    <row r="908" spans="1:2" ht="14.25" customHeight="1">
      <c r="A908" s="40"/>
      <c r="B908" s="40"/>
    </row>
    <row r="909" spans="1:2" ht="14.25" customHeight="1">
      <c r="A909" s="40"/>
      <c r="B909" s="40"/>
    </row>
    <row r="910" spans="1:2" ht="14.25" customHeight="1">
      <c r="A910" s="40"/>
      <c r="B910" s="40"/>
    </row>
    <row r="911" spans="1:2" ht="14.25" customHeight="1">
      <c r="A911" s="40"/>
      <c r="B911" s="40"/>
    </row>
    <row r="912" spans="1:2" ht="14.25" customHeight="1">
      <c r="A912" s="40"/>
      <c r="B912" s="40"/>
    </row>
    <row r="913" spans="1:2" ht="14.25" customHeight="1">
      <c r="A913" s="40"/>
      <c r="B913" s="40"/>
    </row>
    <row r="914" spans="1:2" ht="14.25" customHeight="1">
      <c r="A914" s="40"/>
      <c r="B914" s="40"/>
    </row>
    <row r="915" spans="1:2" ht="14.25" customHeight="1">
      <c r="A915" s="40"/>
      <c r="B915" s="40"/>
    </row>
    <row r="916" spans="1:2" ht="14.25" customHeight="1">
      <c r="A916" s="40"/>
      <c r="B916" s="40"/>
    </row>
    <row r="917" spans="1:2" ht="14.25" customHeight="1">
      <c r="A917" s="40"/>
      <c r="B917" s="40"/>
    </row>
    <row r="918" spans="1:2" ht="14.25" customHeight="1">
      <c r="A918" s="40"/>
      <c r="B918" s="40"/>
    </row>
    <row r="919" spans="1:2" ht="14.25" customHeight="1">
      <c r="A919" s="40"/>
      <c r="B919" s="40"/>
    </row>
    <row r="920" spans="1:2" ht="14.25" customHeight="1">
      <c r="A920" s="40"/>
      <c r="B920" s="40"/>
    </row>
    <row r="921" spans="1:2" ht="14.25" customHeight="1">
      <c r="A921" s="40"/>
      <c r="B921" s="40"/>
    </row>
    <row r="922" spans="1:2" ht="14.25" customHeight="1">
      <c r="A922" s="40"/>
      <c r="B922" s="40"/>
    </row>
    <row r="923" spans="1:2" ht="14.25" customHeight="1">
      <c r="A923" s="40"/>
      <c r="B923" s="40"/>
    </row>
    <row r="924" spans="1:2" ht="14.25" customHeight="1">
      <c r="A924" s="40"/>
      <c r="B924" s="40"/>
    </row>
    <row r="925" spans="1:2" ht="14.25" customHeight="1">
      <c r="A925" s="40"/>
      <c r="B925" s="40"/>
    </row>
    <row r="926" spans="1:2" ht="14.25" customHeight="1">
      <c r="A926" s="40"/>
      <c r="B926" s="40"/>
    </row>
    <row r="927" spans="1:2" ht="14.25" customHeight="1">
      <c r="A927" s="40"/>
      <c r="B927" s="40"/>
    </row>
    <row r="928" spans="1:2" ht="14.25" customHeight="1">
      <c r="A928" s="40"/>
      <c r="B928" s="40"/>
    </row>
    <row r="929" spans="1:2" ht="14.25" customHeight="1">
      <c r="A929" s="40"/>
      <c r="B929" s="40"/>
    </row>
    <row r="930" spans="1:2" ht="14.25" customHeight="1">
      <c r="A930" s="40"/>
      <c r="B930" s="40"/>
    </row>
    <row r="931" spans="1:2" ht="14.25" customHeight="1">
      <c r="A931" s="40"/>
      <c r="B931" s="40"/>
    </row>
    <row r="932" spans="1:2" ht="14.25" customHeight="1">
      <c r="A932" s="40"/>
      <c r="B932" s="40"/>
    </row>
    <row r="933" spans="1:2" ht="14.25" customHeight="1">
      <c r="A933" s="40"/>
      <c r="B933" s="40"/>
    </row>
    <row r="934" spans="1:2" ht="14.25" customHeight="1">
      <c r="A934" s="40"/>
      <c r="B934" s="40"/>
    </row>
    <row r="935" spans="1:2" ht="14.25" customHeight="1">
      <c r="A935" s="40"/>
      <c r="B935" s="40"/>
    </row>
    <row r="936" spans="1:2" ht="14.25" customHeight="1">
      <c r="A936" s="40"/>
      <c r="B936" s="40"/>
    </row>
    <row r="937" spans="1:2" ht="14.25" customHeight="1">
      <c r="A937" s="40"/>
      <c r="B937" s="40"/>
    </row>
    <row r="938" spans="1:2" ht="14.25" customHeight="1">
      <c r="A938" s="40"/>
      <c r="B938" s="40"/>
    </row>
    <row r="939" spans="1:2" ht="14.25" customHeight="1">
      <c r="A939" s="40"/>
      <c r="B939" s="40"/>
    </row>
    <row r="940" spans="1:2" ht="14.25" customHeight="1">
      <c r="A940" s="40"/>
      <c r="B940" s="40"/>
    </row>
    <row r="941" spans="1:2" ht="14.25" customHeight="1">
      <c r="A941" s="40"/>
      <c r="B941" s="40"/>
    </row>
    <row r="942" spans="1:2" ht="14.25" customHeight="1">
      <c r="A942" s="40"/>
      <c r="B942" s="40"/>
    </row>
    <row r="943" spans="1:2" ht="14.25" customHeight="1">
      <c r="A943" s="40"/>
      <c r="B943" s="40"/>
    </row>
    <row r="944" spans="1:2" ht="14.25" customHeight="1">
      <c r="A944" s="40"/>
      <c r="B944" s="40"/>
    </row>
    <row r="945" spans="1:2" ht="14.25" customHeight="1">
      <c r="A945" s="40"/>
      <c r="B945" s="40"/>
    </row>
    <row r="946" spans="1:2" ht="14.25" customHeight="1">
      <c r="A946" s="40"/>
      <c r="B946" s="40"/>
    </row>
    <row r="947" spans="1:2" ht="14.25" customHeight="1">
      <c r="A947" s="40"/>
      <c r="B947" s="40"/>
    </row>
    <row r="948" spans="1:2" ht="14.25" customHeight="1">
      <c r="A948" s="40"/>
      <c r="B948" s="40"/>
    </row>
    <row r="949" spans="1:2" ht="14.25" customHeight="1">
      <c r="A949" s="40"/>
      <c r="B949" s="40"/>
    </row>
    <row r="950" spans="1:2" ht="14.25" customHeight="1">
      <c r="A950" s="40"/>
      <c r="B950" s="40"/>
    </row>
    <row r="951" spans="1:2" ht="14.25" customHeight="1">
      <c r="A951" s="40"/>
      <c r="B951" s="40"/>
    </row>
    <row r="952" spans="1:2" ht="14.25" customHeight="1">
      <c r="A952" s="40"/>
      <c r="B952" s="40"/>
    </row>
    <row r="953" spans="1:2" ht="14.25" customHeight="1">
      <c r="A953" s="40"/>
      <c r="B953" s="40"/>
    </row>
    <row r="954" spans="1:2" ht="14.25" customHeight="1">
      <c r="A954" s="40"/>
      <c r="B954" s="40"/>
    </row>
    <row r="955" spans="1:2" ht="14.25" customHeight="1">
      <c r="A955" s="40"/>
      <c r="B955" s="40"/>
    </row>
    <row r="956" spans="1:2" ht="14.25" customHeight="1">
      <c r="A956" s="40"/>
      <c r="B956" s="40"/>
    </row>
    <row r="957" spans="1:2" ht="14.25" customHeight="1">
      <c r="A957" s="40"/>
      <c r="B957" s="40"/>
    </row>
    <row r="958" spans="1:2" ht="14.25" customHeight="1">
      <c r="A958" s="40"/>
      <c r="B958" s="40"/>
    </row>
    <row r="959" spans="1:2" ht="14.25" customHeight="1">
      <c r="A959" s="40"/>
      <c r="B959" s="40"/>
    </row>
    <row r="960" spans="1:2" ht="14.25" customHeight="1">
      <c r="A960" s="40"/>
      <c r="B960" s="40"/>
    </row>
    <row r="961" spans="1:2" ht="14.25" customHeight="1">
      <c r="A961" s="40"/>
      <c r="B961" s="40"/>
    </row>
    <row r="962" spans="1:2" ht="14.25" customHeight="1">
      <c r="A962" s="40"/>
      <c r="B962" s="40"/>
    </row>
    <row r="963" spans="1:2" ht="14.25" customHeight="1">
      <c r="A963" s="40"/>
      <c r="B963" s="40"/>
    </row>
    <row r="964" spans="1:2" ht="14.25" customHeight="1">
      <c r="A964" s="40"/>
      <c r="B964" s="40"/>
    </row>
    <row r="965" spans="1:2" ht="14.25" customHeight="1">
      <c r="A965" s="40"/>
      <c r="B965" s="40"/>
    </row>
    <row r="966" spans="1:2" ht="14.25" customHeight="1">
      <c r="A966" s="40"/>
      <c r="B966" s="40"/>
    </row>
    <row r="967" spans="1:2" ht="14.25" customHeight="1">
      <c r="A967" s="40"/>
      <c r="B967" s="40"/>
    </row>
    <row r="968" spans="1:2" ht="14.25" customHeight="1">
      <c r="A968" s="40"/>
      <c r="B968" s="40"/>
    </row>
    <row r="969" spans="1:2" ht="14.25" customHeight="1">
      <c r="A969" s="40"/>
      <c r="B969" s="40"/>
    </row>
    <row r="970" spans="1:2" ht="14.25" customHeight="1">
      <c r="A970" s="40"/>
      <c r="B970" s="40"/>
    </row>
    <row r="971" spans="1:2" ht="14.25" customHeight="1">
      <c r="A971" s="40"/>
      <c r="B971" s="40"/>
    </row>
    <row r="972" spans="1:2" ht="14.25" customHeight="1">
      <c r="A972" s="40"/>
      <c r="B972" s="40"/>
    </row>
    <row r="973" spans="1:2" ht="14.25" customHeight="1">
      <c r="A973" s="40"/>
      <c r="B973" s="40"/>
    </row>
    <row r="974" spans="1:2" ht="14.25" customHeight="1">
      <c r="A974" s="40"/>
      <c r="B974" s="40"/>
    </row>
    <row r="975" spans="1:2" ht="14.25" customHeight="1">
      <c r="A975" s="40"/>
      <c r="B975" s="40"/>
    </row>
    <row r="976" spans="1:2" ht="14.25" customHeight="1">
      <c r="A976" s="40"/>
      <c r="B976" s="40"/>
    </row>
    <row r="977" spans="1:2" ht="14.25" customHeight="1">
      <c r="A977" s="40"/>
      <c r="B977" s="40"/>
    </row>
    <row r="978" spans="1:2" ht="14.25" customHeight="1">
      <c r="A978" s="40"/>
      <c r="B978" s="40"/>
    </row>
    <row r="979" spans="1:2" ht="14.25" customHeight="1">
      <c r="A979" s="40"/>
      <c r="B979" s="40"/>
    </row>
    <row r="980" spans="1:2" ht="14.25" customHeight="1">
      <c r="A980" s="40"/>
      <c r="B980" s="40"/>
    </row>
    <row r="981" spans="1:2" ht="14.25" customHeight="1">
      <c r="A981" s="40"/>
      <c r="B981" s="40"/>
    </row>
    <row r="982" spans="1:2" ht="14.25" customHeight="1">
      <c r="A982" s="40"/>
      <c r="B982" s="40"/>
    </row>
    <row r="983" spans="1:2" ht="14.25" customHeight="1">
      <c r="A983" s="40"/>
      <c r="B983" s="40"/>
    </row>
    <row r="984" spans="1:2" ht="14.25" customHeight="1">
      <c r="A984" s="40"/>
      <c r="B984" s="40"/>
    </row>
    <row r="985" spans="1:2" ht="14.25" customHeight="1">
      <c r="A985" s="40"/>
      <c r="B985" s="40"/>
    </row>
    <row r="986" spans="1:2" ht="14.25" customHeight="1">
      <c r="A986" s="40"/>
      <c r="B986" s="40"/>
    </row>
    <row r="987" spans="1:2" ht="14.25" customHeight="1">
      <c r="A987" s="40"/>
      <c r="B987" s="40"/>
    </row>
    <row r="988" spans="1:2" ht="14.25" customHeight="1">
      <c r="A988" s="40"/>
      <c r="B988" s="40"/>
    </row>
    <row r="989" spans="1:2" ht="14.25" customHeight="1">
      <c r="A989" s="40"/>
      <c r="B989" s="40"/>
    </row>
    <row r="990" spans="1:2" ht="14.25" customHeight="1">
      <c r="A990" s="40"/>
      <c r="B990" s="40"/>
    </row>
    <row r="991" spans="1:2" ht="14.25" customHeight="1">
      <c r="A991" s="40"/>
      <c r="B991" s="40"/>
    </row>
    <row r="992" spans="1:2" ht="14.25" customHeight="1">
      <c r="A992" s="40"/>
      <c r="B992" s="40"/>
    </row>
    <row r="993" spans="1:2" ht="14.25" customHeight="1">
      <c r="A993" s="40"/>
      <c r="B993" s="40"/>
    </row>
    <row r="994" spans="1:2" ht="14.25" customHeight="1">
      <c r="A994" s="40"/>
      <c r="B994" s="40"/>
    </row>
    <row r="995" spans="1:2" ht="14.25" customHeight="1">
      <c r="A995" s="40"/>
      <c r="B995" s="40"/>
    </row>
    <row r="996" spans="1:2" ht="14.25" customHeight="1">
      <c r="A996" s="40"/>
      <c r="B996" s="40"/>
    </row>
    <row r="997" spans="1:2" ht="14.25" customHeight="1">
      <c r="A997" s="40"/>
      <c r="B997" s="40"/>
    </row>
    <row r="998" spans="1:2" ht="14.25" customHeight="1">
      <c r="A998" s="40"/>
      <c r="B998" s="40"/>
    </row>
    <row r="999" spans="1:2" ht="14.25" customHeight="1">
      <c r="A999" s="40"/>
      <c r="B999" s="40"/>
    </row>
    <row r="1000" spans="1:2" ht="14.25" customHeight="1">
      <c r="A1000" s="40"/>
      <c r="B1000" s="40"/>
    </row>
  </sheetData>
  <mergeCells count="63">
    <mergeCell ref="F11:G11"/>
    <mergeCell ref="C18:D18"/>
    <mergeCell ref="F23:G23"/>
    <mergeCell ref="F24:G24"/>
    <mergeCell ref="C19:D19"/>
    <mergeCell ref="C20:D20"/>
    <mergeCell ref="B21:G21"/>
    <mergeCell ref="C22:D22"/>
    <mergeCell ref="F22:G22"/>
    <mergeCell ref="C23:D23"/>
    <mergeCell ref="C24:D24"/>
    <mergeCell ref="F18:G18"/>
    <mergeCell ref="F19:G19"/>
    <mergeCell ref="F20:G20"/>
    <mergeCell ref="F12:G12"/>
    <mergeCell ref="C12:D12"/>
    <mergeCell ref="C13:D13"/>
    <mergeCell ref="C14:D14"/>
    <mergeCell ref="C15:D15"/>
    <mergeCell ref="C16:D16"/>
    <mergeCell ref="C17:D17"/>
    <mergeCell ref="F13:G13"/>
    <mergeCell ref="F14:G14"/>
    <mergeCell ref="F15:G15"/>
    <mergeCell ref="F16:G16"/>
    <mergeCell ref="F17:G17"/>
    <mergeCell ref="K7:M8"/>
    <mergeCell ref="L10:O10"/>
    <mergeCell ref="L11:M11"/>
    <mergeCell ref="N11:O11"/>
    <mergeCell ref="A1:H1"/>
    <mergeCell ref="M3:O3"/>
    <mergeCell ref="M4:O4"/>
    <mergeCell ref="M5:O5"/>
    <mergeCell ref="J7:J8"/>
    <mergeCell ref="A8:A9"/>
    <mergeCell ref="H8:H9"/>
    <mergeCell ref="B8:D9"/>
    <mergeCell ref="E8:G8"/>
    <mergeCell ref="F9:G9"/>
    <mergeCell ref="B10:G10"/>
    <mergeCell ref="C11:D11"/>
    <mergeCell ref="C46:D46"/>
    <mergeCell ref="C50:D50"/>
    <mergeCell ref="G50:H50"/>
    <mergeCell ref="B36:H36"/>
    <mergeCell ref="A38:C38"/>
    <mergeCell ref="A39:C39"/>
    <mergeCell ref="A42:C42"/>
    <mergeCell ref="A43:C43"/>
    <mergeCell ref="C45:F45"/>
    <mergeCell ref="G46:H46"/>
    <mergeCell ref="F30:G30"/>
    <mergeCell ref="F32:G32"/>
    <mergeCell ref="F33:G33"/>
    <mergeCell ref="F34:G34"/>
    <mergeCell ref="B25:D25"/>
    <mergeCell ref="F25:G25"/>
    <mergeCell ref="A26:H26"/>
    <mergeCell ref="A28:E30"/>
    <mergeCell ref="F28:G28"/>
    <mergeCell ref="F29:G29"/>
    <mergeCell ref="A32:E34"/>
  </mergeCells>
  <hyperlinks>
    <hyperlink ref="M4" r:id="rId1"/>
  </hyperlinks>
  <printOptions horizontalCentered="1"/>
  <pageMargins left="0.70866141732283472" right="0.70866141732283472" top="0.74803149606299213" bottom="0.74803149606299213" header="0" footer="0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impanPDFMasalSatuFile">
                <anchor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11</xdr:col>
                    <xdr:colOff>447675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etakRaportMasal">
                <anchor>
                  <from>
                    <xdr:col>9</xdr:col>
                    <xdr:colOff>0</xdr:colOff>
                    <xdr:row>3</xdr:row>
                    <xdr:rowOff>28575</xdr:rowOff>
                  </from>
                  <to>
                    <xdr:col>11</xdr:col>
                    <xdr:colOff>447675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Spinner 4">
              <controlPr defaultSize="0" autoPict="0">
                <anchor moveWithCells="1" sizeWithCells="1">
                  <from>
                    <xdr:col>9</xdr:col>
                    <xdr:colOff>19050</xdr:colOff>
                    <xdr:row>8</xdr:row>
                    <xdr:rowOff>28575</xdr:rowOff>
                  </from>
                  <to>
                    <xdr:col>9</xdr:col>
                    <xdr:colOff>571500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embar8"/>
  <dimension ref="A1:K1000"/>
  <sheetViews>
    <sheetView tabSelected="1" topLeftCell="A7" workbookViewId="0">
      <selection activeCell="G15" sqref="G15"/>
    </sheetView>
  </sheetViews>
  <sheetFormatPr defaultColWidth="14.42578125" defaultRowHeight="15" customHeight="1"/>
  <cols>
    <col min="1" max="1" width="4.5703125" customWidth="1"/>
    <col min="2" max="2" width="4.85546875" customWidth="1"/>
    <col min="3" max="3" width="15.85546875" customWidth="1"/>
    <col min="4" max="4" width="32.42578125" customWidth="1"/>
    <col min="5" max="5" width="32.5703125" customWidth="1"/>
    <col min="6" max="26" width="8.7109375" customWidth="1"/>
  </cols>
  <sheetData>
    <row r="1" spans="1:11" ht="14.25" customHeight="1">
      <c r="A1" s="59"/>
      <c r="B1" s="59"/>
      <c r="C1" s="59"/>
      <c r="D1" s="59"/>
      <c r="E1" s="59"/>
    </row>
    <row r="2" spans="1:11" ht="14.25" customHeight="1">
      <c r="A2" s="165" t="s">
        <v>239</v>
      </c>
      <c r="B2" s="107"/>
      <c r="C2" s="107"/>
      <c r="D2" s="107"/>
      <c r="E2" s="108"/>
    </row>
    <row r="3" spans="1:11" ht="14.25" customHeight="1">
      <c r="A3" s="60"/>
      <c r="B3" s="60"/>
      <c r="C3" s="60"/>
      <c r="D3" s="60"/>
      <c r="E3" s="60"/>
    </row>
    <row r="4" spans="1:11" ht="14.25" customHeight="1">
      <c r="A4" s="61"/>
      <c r="B4" s="61"/>
      <c r="C4" s="61"/>
      <c r="D4" s="61"/>
      <c r="E4" s="61"/>
    </row>
    <row r="5" spans="1:11" ht="14.25" customHeight="1">
      <c r="A5" s="62" t="str">
        <f>"Nama Santri : "&amp;IF(ISBLANK(G7),"",VLOOKUP(G7,Data,3))</f>
        <v>Nama Santri : SANTRI 1</v>
      </c>
      <c r="B5" s="63"/>
      <c r="C5" s="61"/>
      <c r="D5" s="64"/>
      <c r="E5" s="61"/>
    </row>
    <row r="6" spans="1:11" ht="14.25" customHeight="1">
      <c r="A6" s="61"/>
      <c r="B6" s="61"/>
      <c r="C6" s="61"/>
      <c r="D6" s="61"/>
      <c r="E6" s="61"/>
    </row>
    <row r="7" spans="1:11" ht="60" customHeight="1">
      <c r="A7" s="166" t="s">
        <v>227</v>
      </c>
      <c r="B7" s="99"/>
      <c r="C7" s="65" t="s">
        <v>240</v>
      </c>
      <c r="D7" s="65" t="s">
        <v>241</v>
      </c>
      <c r="E7" s="65" t="s">
        <v>242</v>
      </c>
      <c r="G7" s="66">
        <v>1</v>
      </c>
      <c r="H7" s="24" t="s">
        <v>110</v>
      </c>
    </row>
    <row r="8" spans="1:11" ht="14.25" customHeight="1">
      <c r="A8" s="167"/>
      <c r="B8" s="112"/>
      <c r="C8" s="67"/>
      <c r="D8" s="67"/>
      <c r="E8" s="67"/>
    </row>
    <row r="9" spans="1:11" ht="14.25" customHeight="1">
      <c r="A9" s="168"/>
      <c r="B9" s="169"/>
      <c r="C9" s="68"/>
      <c r="D9" s="68"/>
      <c r="E9" s="69" t="s">
        <v>243</v>
      </c>
      <c r="K9" s="22"/>
    </row>
    <row r="10" spans="1:11" ht="14.25" customHeight="1">
      <c r="A10" s="168"/>
      <c r="B10" s="169"/>
      <c r="C10" s="69"/>
      <c r="D10" s="69"/>
      <c r="E10" s="69" t="s">
        <v>244</v>
      </c>
    </row>
    <row r="11" spans="1:11" ht="14.25" customHeight="1">
      <c r="A11" s="168"/>
      <c r="B11" s="169"/>
      <c r="C11" s="69"/>
      <c r="D11" s="69"/>
      <c r="E11" s="69"/>
    </row>
    <row r="12" spans="1:11" ht="14.25" customHeight="1">
      <c r="A12" s="168"/>
      <c r="B12" s="169"/>
      <c r="C12" s="69"/>
      <c r="D12" s="69"/>
      <c r="E12" s="69"/>
    </row>
    <row r="13" spans="1:11" ht="14.25" customHeight="1">
      <c r="A13" s="168"/>
      <c r="B13" s="169"/>
      <c r="C13" s="69"/>
      <c r="D13" s="69"/>
      <c r="E13" s="70" t="str">
        <f>IDENTITAS!C16</f>
        <v>NURKHOLIS, S.Pd.I</v>
      </c>
    </row>
    <row r="14" spans="1:11" ht="14.25" customHeight="1">
      <c r="A14" s="168"/>
      <c r="B14" s="169"/>
      <c r="C14" s="69"/>
      <c r="D14" s="69"/>
      <c r="E14" s="69"/>
    </row>
    <row r="15" spans="1:11" ht="14.25" customHeight="1">
      <c r="A15" s="168"/>
      <c r="B15" s="169"/>
      <c r="C15" s="69"/>
      <c r="D15" s="69"/>
      <c r="E15" s="69" t="s">
        <v>245</v>
      </c>
    </row>
    <row r="16" spans="1:11" ht="14.25" customHeight="1">
      <c r="A16" s="168"/>
      <c r="B16" s="169"/>
      <c r="C16" s="69"/>
      <c r="D16" s="69"/>
      <c r="E16" s="69"/>
    </row>
    <row r="17" spans="1:5" ht="14.25" customHeight="1">
      <c r="A17" s="168"/>
      <c r="B17" s="169"/>
      <c r="C17" s="69"/>
      <c r="D17" s="69"/>
      <c r="E17" s="69" t="s">
        <v>246</v>
      </c>
    </row>
    <row r="18" spans="1:5" ht="14.25" customHeight="1">
      <c r="A18" s="170"/>
      <c r="B18" s="114"/>
      <c r="C18" s="71"/>
      <c r="D18" s="71"/>
      <c r="E18" s="71"/>
    </row>
    <row r="19" spans="1:5" ht="14.25" customHeight="1">
      <c r="A19" s="167"/>
      <c r="B19" s="112"/>
      <c r="C19" s="67"/>
      <c r="D19" s="67"/>
      <c r="E19" s="67"/>
    </row>
    <row r="20" spans="1:5" ht="14.25" customHeight="1">
      <c r="A20" s="168"/>
      <c r="B20" s="169"/>
      <c r="C20" s="69"/>
      <c r="D20" s="69"/>
      <c r="E20" s="69" t="s">
        <v>243</v>
      </c>
    </row>
    <row r="21" spans="1:5" ht="14.25" customHeight="1">
      <c r="A21" s="168"/>
      <c r="B21" s="169"/>
      <c r="C21" s="69"/>
      <c r="D21" s="69"/>
      <c r="E21" s="69" t="s">
        <v>244</v>
      </c>
    </row>
    <row r="22" spans="1:5" ht="14.25" customHeight="1">
      <c r="A22" s="168"/>
      <c r="B22" s="169"/>
      <c r="C22" s="69"/>
      <c r="D22" s="69"/>
      <c r="E22" s="69"/>
    </row>
    <row r="23" spans="1:5" ht="14.25" customHeight="1">
      <c r="A23" s="168"/>
      <c r="B23" s="169"/>
      <c r="C23" s="69"/>
      <c r="D23" s="69"/>
      <c r="E23" s="69"/>
    </row>
    <row r="24" spans="1:5" ht="14.25" customHeight="1">
      <c r="A24" s="168"/>
      <c r="B24" s="169"/>
      <c r="C24" s="69"/>
      <c r="D24" s="69"/>
      <c r="E24" s="69" t="s">
        <v>246</v>
      </c>
    </row>
    <row r="25" spans="1:5" ht="14.25" customHeight="1">
      <c r="A25" s="168"/>
      <c r="B25" s="169"/>
      <c r="C25" s="69"/>
      <c r="D25" s="69"/>
      <c r="E25" s="69"/>
    </row>
    <row r="26" spans="1:5" ht="14.25" customHeight="1">
      <c r="A26" s="168"/>
      <c r="B26" s="169"/>
      <c r="C26" s="69"/>
      <c r="D26" s="69"/>
      <c r="E26" s="69" t="s">
        <v>245</v>
      </c>
    </row>
    <row r="27" spans="1:5" ht="14.25" customHeight="1">
      <c r="A27" s="168"/>
      <c r="B27" s="169"/>
      <c r="C27" s="69"/>
      <c r="D27" s="69"/>
      <c r="E27" s="69"/>
    </row>
    <row r="28" spans="1:5" ht="14.25" customHeight="1">
      <c r="A28" s="168"/>
      <c r="B28" s="169"/>
      <c r="C28" s="69"/>
      <c r="D28" s="69"/>
      <c r="E28" s="69" t="s">
        <v>246</v>
      </c>
    </row>
    <row r="29" spans="1:5" ht="14.25" customHeight="1">
      <c r="A29" s="170"/>
      <c r="B29" s="114"/>
      <c r="C29" s="71"/>
      <c r="D29" s="71"/>
      <c r="E29" s="71"/>
    </row>
    <row r="30" spans="1:5" ht="14.25" customHeight="1">
      <c r="A30" s="167"/>
      <c r="B30" s="112"/>
      <c r="C30" s="67"/>
      <c r="D30" s="67"/>
      <c r="E30" s="67"/>
    </row>
    <row r="31" spans="1:5" ht="14.25" customHeight="1">
      <c r="A31" s="168"/>
      <c r="B31" s="169"/>
      <c r="C31" s="69"/>
      <c r="D31" s="69"/>
      <c r="E31" s="69" t="s">
        <v>243</v>
      </c>
    </row>
    <row r="32" spans="1:5" ht="14.25" customHeight="1">
      <c r="A32" s="168"/>
      <c r="B32" s="169"/>
      <c r="C32" s="69"/>
      <c r="D32" s="69"/>
      <c r="E32" s="69" t="s">
        <v>244</v>
      </c>
    </row>
    <row r="33" spans="1:5" ht="14.25" customHeight="1">
      <c r="A33" s="168"/>
      <c r="B33" s="169"/>
      <c r="C33" s="69"/>
      <c r="D33" s="69"/>
      <c r="E33" s="69"/>
    </row>
    <row r="34" spans="1:5" ht="14.25" customHeight="1">
      <c r="A34" s="168"/>
      <c r="B34" s="169"/>
      <c r="C34" s="69"/>
      <c r="D34" s="69"/>
      <c r="E34" s="69"/>
    </row>
    <row r="35" spans="1:5" ht="14.25" customHeight="1">
      <c r="A35" s="168"/>
      <c r="B35" s="169"/>
      <c r="C35" s="69"/>
      <c r="D35" s="69"/>
      <c r="E35" s="69" t="s">
        <v>246</v>
      </c>
    </row>
    <row r="36" spans="1:5" ht="14.25" customHeight="1">
      <c r="A36" s="168"/>
      <c r="B36" s="169"/>
      <c r="C36" s="69"/>
      <c r="D36" s="69"/>
      <c r="E36" s="69"/>
    </row>
    <row r="37" spans="1:5" ht="14.25" customHeight="1">
      <c r="A37" s="168"/>
      <c r="B37" s="169"/>
      <c r="C37" s="69"/>
      <c r="D37" s="69"/>
      <c r="E37" s="69" t="s">
        <v>245</v>
      </c>
    </row>
    <row r="38" spans="1:5" ht="14.25" customHeight="1">
      <c r="A38" s="168"/>
      <c r="B38" s="169"/>
      <c r="C38" s="69"/>
      <c r="D38" s="69"/>
      <c r="E38" s="69"/>
    </row>
    <row r="39" spans="1:5" ht="14.25" customHeight="1">
      <c r="A39" s="168"/>
      <c r="B39" s="169"/>
      <c r="C39" s="69"/>
      <c r="D39" s="69"/>
      <c r="E39" s="69" t="s">
        <v>246</v>
      </c>
    </row>
    <row r="40" spans="1:5" ht="14.25" customHeight="1">
      <c r="A40" s="170"/>
      <c r="B40" s="114"/>
      <c r="C40" s="71"/>
      <c r="D40" s="71"/>
      <c r="E40" s="71"/>
    </row>
    <row r="41" spans="1:5" ht="14.25" customHeight="1">
      <c r="A41" s="61"/>
      <c r="B41" s="61"/>
      <c r="C41" s="61"/>
      <c r="D41" s="61"/>
      <c r="E41" s="61"/>
    </row>
    <row r="42" spans="1:5" ht="14.25" customHeight="1">
      <c r="A42" s="61"/>
      <c r="B42" s="61"/>
      <c r="C42" s="61"/>
      <c r="D42" s="61"/>
      <c r="E42" s="61"/>
    </row>
    <row r="43" spans="1:5" ht="14.25" customHeight="1">
      <c r="A43" s="61"/>
      <c r="B43" s="61"/>
      <c r="C43" s="61"/>
      <c r="D43" s="61"/>
      <c r="E43" s="61"/>
    </row>
    <row r="44" spans="1:5" ht="14.25" customHeight="1">
      <c r="A44" s="61"/>
      <c r="B44" s="61"/>
      <c r="C44" s="61"/>
      <c r="D44" s="61"/>
      <c r="E44" s="61"/>
    </row>
    <row r="45" spans="1:5" ht="14.25" customHeight="1">
      <c r="A45" s="61"/>
      <c r="B45" s="61"/>
      <c r="C45" s="61"/>
      <c r="D45" s="61"/>
      <c r="E45" s="61"/>
    </row>
    <row r="46" spans="1:5" ht="14.25" customHeight="1">
      <c r="A46" s="61"/>
      <c r="B46" s="61"/>
      <c r="C46" s="61"/>
      <c r="D46" s="61"/>
      <c r="E46" s="61"/>
    </row>
    <row r="47" spans="1:5" ht="14.25" customHeight="1">
      <c r="A47" s="61"/>
      <c r="B47" s="61"/>
      <c r="C47" s="61"/>
      <c r="D47" s="61"/>
      <c r="E47" s="61"/>
    </row>
    <row r="48" spans="1:5" ht="14.25" customHeight="1">
      <c r="A48" s="165" t="s">
        <v>239</v>
      </c>
      <c r="B48" s="107"/>
      <c r="C48" s="107"/>
      <c r="D48" s="107"/>
      <c r="E48" s="108"/>
    </row>
    <row r="49" spans="1:5" ht="14.25" customHeight="1">
      <c r="A49" s="61"/>
      <c r="B49" s="61"/>
      <c r="C49" s="61"/>
      <c r="D49" s="61"/>
      <c r="E49" s="61"/>
    </row>
    <row r="50" spans="1:5" ht="14.25" customHeight="1">
      <c r="A50" s="62" t="str">
        <f>"Nama Santri : "&amp;IF(ISBLANK(G7),"",VLOOKUP(G7,Data,3))</f>
        <v>Nama Santri : SANTRI 1</v>
      </c>
      <c r="B50" s="61"/>
      <c r="C50" s="61"/>
      <c r="D50" s="61"/>
      <c r="E50" s="61"/>
    </row>
    <row r="51" spans="1:5" ht="14.25" customHeight="1">
      <c r="A51" s="61"/>
      <c r="B51" s="61"/>
      <c r="C51" s="61"/>
      <c r="D51" s="61"/>
      <c r="E51" s="61"/>
    </row>
    <row r="52" spans="1:5" ht="14.25" customHeight="1">
      <c r="A52" s="72" t="s">
        <v>179</v>
      </c>
      <c r="B52" s="173" t="s">
        <v>247</v>
      </c>
      <c r="C52" s="105"/>
      <c r="D52" s="105"/>
      <c r="E52" s="99"/>
    </row>
    <row r="53" spans="1:5" ht="14.25" customHeight="1">
      <c r="A53" s="67"/>
      <c r="B53" s="73"/>
      <c r="C53" s="73"/>
      <c r="D53" s="67"/>
      <c r="E53" s="67"/>
    </row>
    <row r="54" spans="1:5" ht="14.25" customHeight="1">
      <c r="A54" s="68" t="s">
        <v>112</v>
      </c>
      <c r="B54" s="171" t="s">
        <v>176</v>
      </c>
      <c r="C54" s="108"/>
      <c r="D54" s="74" t="str">
        <f>IF(ISBLANK(G7),"",VLOOKUP(G7,Data,3))</f>
        <v>SANTRI 1</v>
      </c>
      <c r="E54" s="69"/>
    </row>
    <row r="55" spans="1:5" ht="14.25" customHeight="1">
      <c r="A55" s="68"/>
      <c r="B55" s="171" t="s">
        <v>115</v>
      </c>
      <c r="C55" s="108"/>
      <c r="D55" s="75">
        <f>IF(ISBLANK(G7),"",VLOOKUP(G7,Data,2))</f>
        <v>2345</v>
      </c>
      <c r="E55" s="69" t="s">
        <v>243</v>
      </c>
    </row>
    <row r="56" spans="1:5" ht="14.25" customHeight="1">
      <c r="A56" s="68"/>
      <c r="B56" s="76" t="s">
        <v>248</v>
      </c>
      <c r="C56" s="76"/>
      <c r="D56" s="77"/>
      <c r="E56" s="69" t="s">
        <v>244</v>
      </c>
    </row>
    <row r="57" spans="1:5" ht="14.25" customHeight="1">
      <c r="A57" s="68"/>
      <c r="B57" s="76" t="s">
        <v>249</v>
      </c>
      <c r="C57" s="76"/>
      <c r="D57" s="77"/>
      <c r="E57" s="69"/>
    </row>
    <row r="58" spans="1:5" ht="14.25" customHeight="1">
      <c r="A58" s="68"/>
      <c r="B58" s="76" t="s">
        <v>250</v>
      </c>
      <c r="C58" s="76"/>
      <c r="D58" s="78"/>
      <c r="E58" s="69"/>
    </row>
    <row r="59" spans="1:5" ht="14.25" customHeight="1">
      <c r="A59" s="68"/>
      <c r="B59" s="76" t="s">
        <v>251</v>
      </c>
      <c r="C59" s="76"/>
      <c r="D59" s="74"/>
      <c r="E59" s="79" t="str">
        <f>IDENTITAS!C16</f>
        <v>NURKHOLIS, S.Pd.I</v>
      </c>
    </row>
    <row r="60" spans="1:5" ht="14.25" customHeight="1">
      <c r="A60" s="68"/>
      <c r="B60" s="76" t="s">
        <v>252</v>
      </c>
      <c r="C60" s="76"/>
      <c r="D60" s="77"/>
      <c r="E60" s="69"/>
    </row>
    <row r="61" spans="1:5" ht="14.25" customHeight="1">
      <c r="A61" s="68"/>
      <c r="B61" s="76" t="s">
        <v>253</v>
      </c>
      <c r="C61" s="76"/>
      <c r="D61" s="77"/>
      <c r="E61" s="69"/>
    </row>
    <row r="62" spans="1:5" ht="14.25" customHeight="1">
      <c r="A62" s="80"/>
      <c r="B62" s="81"/>
      <c r="C62" s="81"/>
      <c r="D62" s="71"/>
      <c r="E62" s="71"/>
    </row>
    <row r="63" spans="1:5" ht="14.25" customHeight="1">
      <c r="A63" s="82"/>
      <c r="B63" s="73"/>
      <c r="C63" s="73"/>
      <c r="D63" s="67"/>
      <c r="E63" s="67"/>
    </row>
    <row r="64" spans="1:5" ht="14.25" customHeight="1">
      <c r="A64" s="68" t="s">
        <v>114</v>
      </c>
      <c r="B64" s="171" t="s">
        <v>176</v>
      </c>
      <c r="C64" s="108"/>
      <c r="D64" s="83"/>
      <c r="E64" s="69"/>
    </row>
    <row r="65" spans="1:5" ht="14.25" customHeight="1">
      <c r="A65" s="68"/>
      <c r="B65" s="171" t="s">
        <v>115</v>
      </c>
      <c r="C65" s="108"/>
      <c r="D65" s="84"/>
      <c r="E65" s="69" t="s">
        <v>243</v>
      </c>
    </row>
    <row r="66" spans="1:5" ht="14.25" customHeight="1">
      <c r="A66" s="68"/>
      <c r="B66" s="76" t="s">
        <v>248</v>
      </c>
      <c r="C66" s="76"/>
      <c r="D66" s="84"/>
      <c r="E66" s="69" t="s">
        <v>244</v>
      </c>
    </row>
    <row r="67" spans="1:5" ht="14.25" customHeight="1">
      <c r="A67" s="68"/>
      <c r="B67" s="76" t="s">
        <v>249</v>
      </c>
      <c r="C67" s="76"/>
      <c r="D67" s="84"/>
      <c r="E67" s="69"/>
    </row>
    <row r="68" spans="1:5" ht="14.25" customHeight="1">
      <c r="A68" s="68"/>
      <c r="B68" s="76" t="s">
        <v>250</v>
      </c>
      <c r="C68" s="76"/>
      <c r="D68" s="69"/>
      <c r="E68" s="69"/>
    </row>
    <row r="69" spans="1:5" ht="14.25" customHeight="1">
      <c r="A69" s="68"/>
      <c r="B69" s="76" t="s">
        <v>251</v>
      </c>
      <c r="C69" s="76"/>
      <c r="D69" s="83"/>
      <c r="E69" s="69" t="s">
        <v>246</v>
      </c>
    </row>
    <row r="70" spans="1:5" ht="14.25" customHeight="1">
      <c r="A70" s="68"/>
      <c r="B70" s="76" t="s">
        <v>252</v>
      </c>
      <c r="C70" s="76"/>
      <c r="D70" s="84"/>
      <c r="E70" s="69"/>
    </row>
    <row r="71" spans="1:5" ht="14.25" customHeight="1">
      <c r="A71" s="68"/>
      <c r="B71" s="76" t="s">
        <v>253</v>
      </c>
      <c r="C71" s="76"/>
      <c r="D71" s="84"/>
      <c r="E71" s="69"/>
    </row>
    <row r="72" spans="1:5" ht="14.25" customHeight="1">
      <c r="A72" s="80"/>
      <c r="B72" s="81"/>
      <c r="C72" s="81"/>
      <c r="D72" s="71"/>
      <c r="E72" s="71"/>
    </row>
    <row r="73" spans="1:5" ht="14.25" customHeight="1">
      <c r="A73" s="82"/>
      <c r="B73" s="73"/>
      <c r="C73" s="73"/>
      <c r="D73" s="67"/>
      <c r="E73" s="67"/>
    </row>
    <row r="74" spans="1:5" ht="14.25" customHeight="1">
      <c r="A74" s="68" t="s">
        <v>116</v>
      </c>
      <c r="B74" s="171" t="s">
        <v>176</v>
      </c>
      <c r="C74" s="108"/>
      <c r="D74" s="83"/>
      <c r="E74" s="69"/>
    </row>
    <row r="75" spans="1:5" ht="14.25" customHeight="1">
      <c r="A75" s="68"/>
      <c r="B75" s="171" t="s">
        <v>115</v>
      </c>
      <c r="C75" s="108"/>
      <c r="D75" s="84"/>
      <c r="E75" s="69" t="s">
        <v>243</v>
      </c>
    </row>
    <row r="76" spans="1:5" ht="14.25" customHeight="1">
      <c r="A76" s="68"/>
      <c r="B76" s="76" t="s">
        <v>248</v>
      </c>
      <c r="C76" s="76"/>
      <c r="D76" s="84"/>
      <c r="E76" s="69" t="s">
        <v>244</v>
      </c>
    </row>
    <row r="77" spans="1:5" ht="14.25" customHeight="1">
      <c r="A77" s="68"/>
      <c r="B77" s="76" t="s">
        <v>249</v>
      </c>
      <c r="C77" s="76"/>
      <c r="D77" s="84"/>
      <c r="E77" s="69"/>
    </row>
    <row r="78" spans="1:5" ht="14.25" customHeight="1">
      <c r="A78" s="69"/>
      <c r="B78" s="76" t="s">
        <v>250</v>
      </c>
      <c r="C78" s="76"/>
      <c r="D78" s="69"/>
      <c r="E78" s="69"/>
    </row>
    <row r="79" spans="1:5" ht="14.25" customHeight="1">
      <c r="A79" s="69"/>
      <c r="B79" s="76" t="s">
        <v>251</v>
      </c>
      <c r="C79" s="76"/>
      <c r="D79" s="83"/>
      <c r="E79" s="69" t="s">
        <v>246</v>
      </c>
    </row>
    <row r="80" spans="1:5" ht="14.25" customHeight="1">
      <c r="A80" s="69"/>
      <c r="B80" s="76" t="s">
        <v>252</v>
      </c>
      <c r="C80" s="76"/>
      <c r="D80" s="84"/>
      <c r="E80" s="69"/>
    </row>
    <row r="81" spans="1:5" ht="14.25" customHeight="1">
      <c r="A81" s="69"/>
      <c r="B81" s="76" t="s">
        <v>253</v>
      </c>
      <c r="C81" s="76"/>
      <c r="D81" s="84"/>
      <c r="E81" s="69"/>
    </row>
    <row r="82" spans="1:5" ht="14.25" customHeight="1">
      <c r="A82" s="71"/>
      <c r="B82" s="81"/>
      <c r="C82" s="81"/>
      <c r="D82" s="71"/>
      <c r="E82" s="71"/>
    </row>
    <row r="83" spans="1:5" ht="14.25" customHeight="1">
      <c r="A83" s="61"/>
      <c r="B83" s="61"/>
      <c r="C83" s="61"/>
      <c r="D83" s="61"/>
      <c r="E83" s="61"/>
    </row>
    <row r="84" spans="1:5" ht="14.25" customHeight="1">
      <c r="A84" s="172" t="s">
        <v>228</v>
      </c>
      <c r="B84" s="107"/>
      <c r="C84" s="108"/>
      <c r="D84" s="61"/>
      <c r="E84" s="85" t="s">
        <v>254</v>
      </c>
    </row>
    <row r="85" spans="1:5" ht="14.25" customHeight="1">
      <c r="A85" s="172" t="s">
        <v>245</v>
      </c>
      <c r="B85" s="107"/>
      <c r="C85" s="108"/>
      <c r="D85" s="61"/>
      <c r="E85" s="85" t="s">
        <v>255</v>
      </c>
    </row>
    <row r="86" spans="1:5" ht="14.25" customHeight="1">
      <c r="A86" s="61"/>
      <c r="B86" s="61"/>
      <c r="C86" s="61"/>
      <c r="D86" s="61"/>
      <c r="E86" s="85"/>
    </row>
    <row r="87" spans="1:5" ht="14.25" customHeight="1">
      <c r="A87" s="61"/>
      <c r="B87" s="61"/>
      <c r="C87" s="61"/>
      <c r="D87" s="61"/>
      <c r="E87" s="85"/>
    </row>
    <row r="88" spans="1:5" ht="14.25" customHeight="1">
      <c r="A88" s="172" t="s">
        <v>256</v>
      </c>
      <c r="B88" s="107"/>
      <c r="C88" s="108"/>
      <c r="D88" s="61"/>
      <c r="E88" s="85"/>
    </row>
    <row r="89" spans="1:5" ht="14.25" customHeight="1">
      <c r="A89" s="61"/>
      <c r="B89" s="61"/>
      <c r="C89" s="61"/>
      <c r="D89" s="61"/>
      <c r="E89" s="85" t="s">
        <v>257</v>
      </c>
    </row>
    <row r="90" spans="1:5" ht="14.25" customHeight="1">
      <c r="A90" s="61"/>
      <c r="B90" s="61"/>
      <c r="C90" s="61"/>
      <c r="D90" s="61"/>
      <c r="E90" s="61"/>
    </row>
    <row r="91" spans="1:5" ht="14.25" customHeight="1">
      <c r="A91" s="61"/>
      <c r="B91" s="61"/>
      <c r="C91" s="61"/>
      <c r="D91" s="85" t="s">
        <v>228</v>
      </c>
      <c r="E91" s="61"/>
    </row>
    <row r="92" spans="1:5" ht="14.25" customHeight="1">
      <c r="A92" s="61"/>
      <c r="B92" s="61"/>
      <c r="C92" s="61"/>
      <c r="D92" s="85" t="s">
        <v>244</v>
      </c>
      <c r="E92" s="61"/>
    </row>
    <row r="93" spans="1:5" ht="14.25" customHeight="1">
      <c r="A93" s="61"/>
      <c r="B93" s="61"/>
      <c r="C93" s="61"/>
      <c r="D93" s="85"/>
      <c r="E93" s="61"/>
    </row>
    <row r="94" spans="1:5" ht="14.25" customHeight="1">
      <c r="A94" s="61"/>
      <c r="B94" s="61"/>
      <c r="C94" s="61"/>
      <c r="D94" s="85"/>
      <c r="E94" s="61"/>
    </row>
    <row r="95" spans="1:5" ht="14.25" customHeight="1">
      <c r="A95" s="61"/>
      <c r="B95" s="61"/>
      <c r="C95" s="61"/>
      <c r="D95" s="85"/>
      <c r="E95" s="61"/>
    </row>
    <row r="96" spans="1:5" ht="14.25" customHeight="1">
      <c r="A96" s="61"/>
      <c r="B96" s="61"/>
      <c r="C96" s="61"/>
      <c r="D96" s="85" t="s">
        <v>256</v>
      </c>
      <c r="E96" s="61"/>
    </row>
    <row r="97" spans="1:5" ht="14.25" customHeight="1">
      <c r="A97" s="59"/>
      <c r="B97" s="59"/>
      <c r="C97" s="59"/>
      <c r="D97" s="59"/>
      <c r="E97" s="59"/>
    </row>
    <row r="98" spans="1:5" ht="14.25" customHeight="1"/>
    <row r="99" spans="1:5" ht="14.25" customHeight="1"/>
    <row r="100" spans="1:5" ht="14.25" customHeight="1"/>
    <row r="101" spans="1:5" ht="14.25" customHeight="1"/>
    <row r="102" spans="1:5" ht="14.25" customHeight="1"/>
    <row r="103" spans="1:5" ht="14.25" customHeight="1"/>
    <row r="104" spans="1:5" ht="14.25" customHeight="1"/>
    <row r="105" spans="1:5" ht="14.25" customHeight="1"/>
    <row r="106" spans="1:5" ht="14.25" customHeight="1"/>
    <row r="107" spans="1:5" ht="14.25" customHeight="1"/>
    <row r="108" spans="1:5" ht="14.25" customHeight="1"/>
    <row r="109" spans="1:5" ht="14.25" customHeight="1"/>
    <row r="110" spans="1:5" ht="14.25" customHeight="1"/>
    <row r="111" spans="1:5" ht="14.25" customHeight="1"/>
    <row r="112" spans="1:5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46">
    <mergeCell ref="B75:C75"/>
    <mergeCell ref="A84:C84"/>
    <mergeCell ref="A85:C85"/>
    <mergeCell ref="A88:C88"/>
    <mergeCell ref="A48:E48"/>
    <mergeCell ref="B52:E52"/>
    <mergeCell ref="B54:C54"/>
    <mergeCell ref="B55:C55"/>
    <mergeCell ref="B64:C64"/>
    <mergeCell ref="B65:C65"/>
    <mergeCell ref="B74:C74"/>
    <mergeCell ref="A36:B36"/>
    <mergeCell ref="A37:B37"/>
    <mergeCell ref="A38:B38"/>
    <mergeCell ref="A39:B39"/>
    <mergeCell ref="A40:B40"/>
    <mergeCell ref="A31:B31"/>
    <mergeCell ref="A32:B32"/>
    <mergeCell ref="A33:B33"/>
    <mergeCell ref="A34:B34"/>
    <mergeCell ref="A35:B35"/>
    <mergeCell ref="A26:B26"/>
    <mergeCell ref="A27:B27"/>
    <mergeCell ref="A28:B28"/>
    <mergeCell ref="A29:B29"/>
    <mergeCell ref="A30:B30"/>
    <mergeCell ref="A21:B21"/>
    <mergeCell ref="A22:B22"/>
    <mergeCell ref="A23:B23"/>
    <mergeCell ref="A24:B24"/>
    <mergeCell ref="A25:B25"/>
    <mergeCell ref="A16:B16"/>
    <mergeCell ref="A17:B17"/>
    <mergeCell ref="A18:B18"/>
    <mergeCell ref="A19:B19"/>
    <mergeCell ref="A20:B20"/>
    <mergeCell ref="A11:B11"/>
    <mergeCell ref="A12:B12"/>
    <mergeCell ref="A13:B13"/>
    <mergeCell ref="A14:B14"/>
    <mergeCell ref="A15:B15"/>
    <mergeCell ref="A2:E2"/>
    <mergeCell ref="A7:B7"/>
    <mergeCell ref="A8:B8"/>
    <mergeCell ref="A9:B9"/>
    <mergeCell ref="A10:B10"/>
  </mergeCells>
  <printOptions horizontalCentered="1"/>
  <pageMargins left="0.59055118110236227" right="0.59055118110236227" top="0.74803149606299213" bottom="0.74803149606299213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Spinner 1">
              <controlPr defaultSize="0" autoPict="0">
                <anchor moveWithCells="1" sizeWithCells="1">
                  <from>
                    <xdr:col>6</xdr:col>
                    <xdr:colOff>9525</xdr:colOff>
                    <xdr:row>2</xdr:row>
                    <xdr:rowOff>85725</xdr:rowOff>
                  </from>
                  <to>
                    <xdr:col>6</xdr:col>
                    <xdr:colOff>561975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9"/>
  <dimension ref="A1:Q1000"/>
  <sheetViews>
    <sheetView topLeftCell="A24" workbookViewId="0">
      <selection activeCell="L23" sqref="L23"/>
    </sheetView>
  </sheetViews>
  <sheetFormatPr defaultColWidth="14.42578125" defaultRowHeight="15" customHeight="1"/>
  <cols>
    <col min="1" max="1" width="3.140625" customWidth="1"/>
    <col min="2" max="16" width="8.7109375" customWidth="1"/>
    <col min="17" max="17" width="14.42578125" customWidth="1"/>
    <col min="18" max="26" width="8.7109375" customWidth="1"/>
  </cols>
  <sheetData>
    <row r="1" spans="1:17" ht="23.25">
      <c r="A1" s="174" t="s">
        <v>258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99"/>
    </row>
    <row r="2" spans="1:17" ht="14.25" customHeight="1">
      <c r="A2" s="86" t="s">
        <v>112</v>
      </c>
      <c r="B2" s="175" t="s">
        <v>259</v>
      </c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12"/>
    </row>
    <row r="3" spans="1:17" ht="14.25" customHeight="1">
      <c r="A3" s="87"/>
      <c r="B3" s="176" t="s">
        <v>260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69"/>
    </row>
    <row r="4" spans="1:17" ht="14.25" customHeight="1">
      <c r="A4" s="87"/>
      <c r="B4" s="176" t="s">
        <v>261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69"/>
    </row>
    <row r="5" spans="1:17" ht="14.25" customHeight="1">
      <c r="A5" s="87"/>
      <c r="B5" s="176" t="s">
        <v>262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69"/>
    </row>
    <row r="6" spans="1:17" ht="14.25" customHeight="1">
      <c r="A6" s="87" t="s">
        <v>263</v>
      </c>
      <c r="B6" s="176" t="s">
        <v>264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69"/>
    </row>
    <row r="7" spans="1:17" ht="14.25" customHeight="1">
      <c r="A7" s="87" t="s">
        <v>265</v>
      </c>
      <c r="B7" s="176" t="s">
        <v>266</v>
      </c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69"/>
    </row>
    <row r="8" spans="1:17" ht="14.25" customHeight="1">
      <c r="A8" s="87" t="s">
        <v>118</v>
      </c>
      <c r="B8" s="176" t="s">
        <v>267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69"/>
    </row>
    <row r="9" spans="1:17" ht="14.25" customHeight="1">
      <c r="A9" s="87"/>
      <c r="B9" s="176" t="s">
        <v>268</v>
      </c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69"/>
    </row>
    <row r="10" spans="1:17" ht="14.25" customHeight="1">
      <c r="A10" s="87"/>
      <c r="B10" s="176" t="s">
        <v>269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69"/>
    </row>
    <row r="11" spans="1:17" ht="14.25" customHeight="1">
      <c r="A11" s="87" t="s">
        <v>120</v>
      </c>
      <c r="B11" s="176" t="s">
        <v>270</v>
      </c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69"/>
    </row>
    <row r="12" spans="1:17" ht="14.25" customHeight="1">
      <c r="A12" s="87"/>
      <c r="B12" s="176" t="s">
        <v>271</v>
      </c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69"/>
    </row>
    <row r="13" spans="1:17" ht="14.25" customHeight="1">
      <c r="A13" s="87" t="s">
        <v>122</v>
      </c>
      <c r="B13" s="176" t="s">
        <v>272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69"/>
    </row>
    <row r="14" spans="1:17" ht="14.25" customHeight="1">
      <c r="A14" s="87" t="s">
        <v>273</v>
      </c>
      <c r="B14" s="176" t="s">
        <v>274</v>
      </c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69"/>
    </row>
    <row r="15" spans="1:17" ht="14.25" customHeight="1">
      <c r="A15" s="87" t="s">
        <v>128</v>
      </c>
      <c r="B15" s="88" t="s">
        <v>275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9"/>
    </row>
    <row r="16" spans="1:17" ht="74.25" customHeight="1">
      <c r="A16" s="90"/>
      <c r="B16" s="177" t="s">
        <v>276</v>
      </c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14"/>
    </row>
    <row r="17" spans="1:17" ht="14.25" customHeight="1">
      <c r="A17" s="91" t="s">
        <v>130</v>
      </c>
      <c r="B17" s="88" t="s">
        <v>277</v>
      </c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</row>
    <row r="18" spans="1:17" ht="14.25" customHeight="1">
      <c r="A18" s="92"/>
      <c r="B18" s="93" t="s">
        <v>278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</row>
    <row r="19" spans="1:17" ht="14.25" customHeight="1">
      <c r="A19" s="9"/>
      <c r="B19" s="153" t="s">
        <v>6</v>
      </c>
      <c r="C19" s="154"/>
      <c r="D19" s="112"/>
    </row>
    <row r="20" spans="1:17" ht="14.25" customHeight="1">
      <c r="A20" s="9"/>
      <c r="B20" s="155" t="s">
        <v>10</v>
      </c>
      <c r="C20" s="156"/>
      <c r="D20" s="114"/>
    </row>
    <row r="21" spans="1:17" ht="14.25" customHeight="1">
      <c r="A21" s="9"/>
      <c r="B21" s="157" t="s">
        <v>14</v>
      </c>
      <c r="C21" s="156"/>
      <c r="D21" s="114"/>
    </row>
    <row r="22" spans="1:17" ht="14.25" customHeight="1">
      <c r="A22" s="9"/>
    </row>
    <row r="23" spans="1:17" ht="14.25" customHeight="1">
      <c r="A23" s="9"/>
    </row>
    <row r="24" spans="1:17" ht="14.25" customHeight="1">
      <c r="A24" s="9"/>
      <c r="B24" s="96" t="s">
        <v>290</v>
      </c>
      <c r="C24" s="97"/>
      <c r="D24" s="97"/>
      <c r="E24" s="97"/>
      <c r="F24" s="97"/>
      <c r="G24" s="97"/>
    </row>
    <row r="25" spans="1:17" ht="14.25" customHeight="1">
      <c r="A25" s="9"/>
    </row>
    <row r="26" spans="1:17" ht="14.25" customHeight="1">
      <c r="A26" s="9"/>
    </row>
    <row r="27" spans="1:17" ht="14.25" customHeight="1">
      <c r="A27" s="9"/>
    </row>
    <row r="28" spans="1:17" ht="14.25" customHeight="1">
      <c r="A28" s="9"/>
    </row>
    <row r="29" spans="1:17" ht="14.25" customHeight="1">
      <c r="A29" s="9"/>
    </row>
    <row r="30" spans="1:17" ht="14.25" customHeight="1">
      <c r="A30" s="9"/>
    </row>
    <row r="31" spans="1:17" ht="14.25" customHeight="1">
      <c r="A31" s="9"/>
    </row>
    <row r="32" spans="1:17" ht="14.25" customHeight="1">
      <c r="A32" s="9"/>
    </row>
    <row r="33" spans="1:1" ht="14.25" customHeight="1">
      <c r="A33" s="9"/>
    </row>
    <row r="34" spans="1:1" ht="14.25" customHeight="1">
      <c r="A34" s="9"/>
    </row>
    <row r="35" spans="1:1" ht="14.25" customHeight="1">
      <c r="A35" s="9"/>
    </row>
    <row r="36" spans="1:1" ht="14.25" customHeight="1">
      <c r="A36" s="9"/>
    </row>
    <row r="37" spans="1:1" ht="14.25" customHeight="1">
      <c r="A37" s="9"/>
    </row>
    <row r="38" spans="1:1" ht="14.25" customHeight="1">
      <c r="A38" s="9"/>
    </row>
    <row r="39" spans="1:1" ht="14.25" customHeight="1">
      <c r="A39" s="9"/>
    </row>
    <row r="40" spans="1:1" ht="14.25" customHeight="1">
      <c r="A40" s="9"/>
    </row>
    <row r="41" spans="1:1" ht="14.25" customHeight="1">
      <c r="A41" s="9"/>
    </row>
    <row r="42" spans="1:1" ht="14.25" customHeight="1">
      <c r="A42" s="9"/>
    </row>
    <row r="43" spans="1:1" ht="14.25" customHeight="1">
      <c r="A43" s="9"/>
    </row>
    <row r="44" spans="1:1" ht="14.25" customHeight="1">
      <c r="A44" s="9"/>
    </row>
    <row r="45" spans="1:1" ht="14.25" customHeight="1">
      <c r="A45" s="9"/>
    </row>
    <row r="46" spans="1:1" ht="14.25" customHeight="1">
      <c r="A46" s="9"/>
    </row>
    <row r="47" spans="1:1" ht="14.25" customHeight="1">
      <c r="A47" s="9"/>
    </row>
    <row r="48" spans="1:1" ht="14.25" customHeight="1">
      <c r="A48" s="9"/>
    </row>
    <row r="49" spans="1:1" ht="14.25" customHeight="1">
      <c r="A49" s="9"/>
    </row>
    <row r="50" spans="1:1" ht="14.25" customHeight="1">
      <c r="A50" s="9"/>
    </row>
    <row r="51" spans="1:1" ht="14.25" customHeight="1">
      <c r="A51" s="9"/>
    </row>
    <row r="52" spans="1:1" ht="14.25" customHeight="1">
      <c r="A52" s="9"/>
    </row>
    <row r="53" spans="1:1" ht="14.25" customHeight="1">
      <c r="A53" s="9"/>
    </row>
    <row r="54" spans="1:1" ht="14.25" customHeight="1">
      <c r="A54" s="9"/>
    </row>
    <row r="55" spans="1:1" ht="14.25" customHeight="1">
      <c r="A55" s="9"/>
    </row>
    <row r="56" spans="1:1" ht="14.25" customHeight="1">
      <c r="A56" s="9"/>
    </row>
    <row r="57" spans="1:1" ht="14.25" customHeight="1">
      <c r="A57" s="9"/>
    </row>
    <row r="58" spans="1:1" ht="14.25" customHeight="1">
      <c r="A58" s="9"/>
    </row>
    <row r="59" spans="1:1" ht="14.25" customHeight="1">
      <c r="A59" s="9"/>
    </row>
    <row r="60" spans="1:1" ht="14.25" customHeight="1">
      <c r="A60" s="9"/>
    </row>
    <row r="61" spans="1:1" ht="14.25" customHeight="1">
      <c r="A61" s="9"/>
    </row>
    <row r="62" spans="1:1" ht="14.25" customHeight="1">
      <c r="A62" s="9"/>
    </row>
    <row r="63" spans="1:1" ht="14.25" customHeight="1">
      <c r="A63" s="9"/>
    </row>
    <row r="64" spans="1:1" ht="14.25" customHeight="1">
      <c r="A64" s="9"/>
    </row>
    <row r="65" spans="1:1" ht="14.25" customHeight="1">
      <c r="A65" s="9"/>
    </row>
    <row r="66" spans="1:1" ht="14.25" customHeight="1">
      <c r="A66" s="9"/>
    </row>
    <row r="67" spans="1:1" ht="14.25" customHeight="1">
      <c r="A67" s="9"/>
    </row>
    <row r="68" spans="1:1" ht="14.25" customHeight="1">
      <c r="A68" s="9"/>
    </row>
    <row r="69" spans="1:1" ht="14.25" customHeight="1">
      <c r="A69" s="9"/>
    </row>
    <row r="70" spans="1:1" ht="14.25" customHeight="1">
      <c r="A70" s="9"/>
    </row>
    <row r="71" spans="1:1" ht="14.25" customHeight="1">
      <c r="A71" s="9"/>
    </row>
    <row r="72" spans="1:1" ht="14.25" customHeight="1">
      <c r="A72" s="9"/>
    </row>
    <row r="73" spans="1:1" ht="14.25" customHeight="1">
      <c r="A73" s="9"/>
    </row>
    <row r="74" spans="1:1" ht="14.25" customHeight="1">
      <c r="A74" s="9"/>
    </row>
    <row r="75" spans="1:1" ht="14.25" customHeight="1">
      <c r="A75" s="9"/>
    </row>
    <row r="76" spans="1:1" ht="14.25" customHeight="1">
      <c r="A76" s="9"/>
    </row>
    <row r="77" spans="1:1" ht="14.25" customHeight="1">
      <c r="A77" s="9"/>
    </row>
    <row r="78" spans="1:1" ht="14.25" customHeight="1">
      <c r="A78" s="9"/>
    </row>
    <row r="79" spans="1:1" ht="14.25" customHeight="1">
      <c r="A79" s="9"/>
    </row>
    <row r="80" spans="1:1" ht="14.25" customHeight="1">
      <c r="A80" s="9"/>
    </row>
    <row r="81" spans="1:1" ht="14.25" customHeight="1">
      <c r="A81" s="9"/>
    </row>
    <row r="82" spans="1:1" ht="14.25" customHeight="1">
      <c r="A82" s="9"/>
    </row>
    <row r="83" spans="1:1" ht="14.25" customHeight="1">
      <c r="A83" s="9"/>
    </row>
    <row r="84" spans="1:1" ht="14.25" customHeight="1">
      <c r="A84" s="9"/>
    </row>
    <row r="85" spans="1:1" ht="14.25" customHeight="1">
      <c r="A85" s="9"/>
    </row>
    <row r="86" spans="1:1" ht="14.25" customHeight="1">
      <c r="A86" s="9"/>
    </row>
    <row r="87" spans="1:1" ht="14.25" customHeight="1">
      <c r="A87" s="9"/>
    </row>
    <row r="88" spans="1:1" ht="14.25" customHeight="1">
      <c r="A88" s="9"/>
    </row>
    <row r="89" spans="1:1" ht="14.25" customHeight="1">
      <c r="A89" s="9"/>
    </row>
    <row r="90" spans="1:1" ht="14.25" customHeight="1">
      <c r="A90" s="9"/>
    </row>
    <row r="91" spans="1:1" ht="14.25" customHeight="1">
      <c r="A91" s="9"/>
    </row>
    <row r="92" spans="1:1" ht="14.25" customHeight="1">
      <c r="A92" s="9"/>
    </row>
    <row r="93" spans="1:1" ht="14.25" customHeight="1">
      <c r="A93" s="9"/>
    </row>
    <row r="94" spans="1:1" ht="14.25" customHeight="1">
      <c r="A94" s="9"/>
    </row>
    <row r="95" spans="1:1" ht="14.25" customHeight="1">
      <c r="A95" s="9"/>
    </row>
    <row r="96" spans="1:1" ht="14.25" customHeight="1">
      <c r="A96" s="9"/>
    </row>
    <row r="97" spans="1:1" ht="14.25" customHeight="1">
      <c r="A97" s="9"/>
    </row>
    <row r="98" spans="1:1" ht="14.25" customHeight="1">
      <c r="A98" s="9"/>
    </row>
    <row r="99" spans="1:1" ht="14.25" customHeight="1">
      <c r="A99" s="9"/>
    </row>
    <row r="100" spans="1:1" ht="14.25" customHeight="1">
      <c r="A100" s="9"/>
    </row>
    <row r="101" spans="1:1" ht="14.25" customHeight="1">
      <c r="A101" s="9"/>
    </row>
    <row r="102" spans="1:1" ht="14.25" customHeight="1">
      <c r="A102" s="9"/>
    </row>
    <row r="103" spans="1:1" ht="14.25" customHeight="1">
      <c r="A103" s="9"/>
    </row>
    <row r="104" spans="1:1" ht="14.25" customHeight="1">
      <c r="A104" s="9"/>
    </row>
    <row r="105" spans="1:1" ht="14.25" customHeight="1">
      <c r="A105" s="9"/>
    </row>
    <row r="106" spans="1:1" ht="14.25" customHeight="1">
      <c r="A106" s="9"/>
    </row>
    <row r="107" spans="1:1" ht="14.25" customHeight="1">
      <c r="A107" s="9"/>
    </row>
    <row r="108" spans="1:1" ht="14.25" customHeight="1">
      <c r="A108" s="9"/>
    </row>
    <row r="109" spans="1:1" ht="14.25" customHeight="1">
      <c r="A109" s="9"/>
    </row>
    <row r="110" spans="1:1" ht="14.25" customHeight="1">
      <c r="A110" s="9"/>
    </row>
    <row r="111" spans="1:1" ht="14.25" customHeight="1">
      <c r="A111" s="9"/>
    </row>
    <row r="112" spans="1:1" ht="14.25" customHeight="1">
      <c r="A112" s="9"/>
    </row>
    <row r="113" spans="1:1" ht="14.25" customHeight="1">
      <c r="A113" s="9"/>
    </row>
    <row r="114" spans="1:1" ht="14.25" customHeight="1">
      <c r="A114" s="9"/>
    </row>
    <row r="115" spans="1:1" ht="14.25" customHeight="1">
      <c r="A115" s="9"/>
    </row>
    <row r="116" spans="1:1" ht="14.25" customHeight="1">
      <c r="A116" s="9"/>
    </row>
    <row r="117" spans="1:1" ht="14.25" customHeight="1">
      <c r="A117" s="9"/>
    </row>
    <row r="118" spans="1:1" ht="14.25" customHeight="1">
      <c r="A118" s="9"/>
    </row>
    <row r="119" spans="1:1" ht="14.25" customHeight="1">
      <c r="A119" s="9"/>
    </row>
    <row r="120" spans="1:1" ht="14.25" customHeight="1">
      <c r="A120" s="9"/>
    </row>
    <row r="121" spans="1:1" ht="14.25" customHeight="1">
      <c r="A121" s="9"/>
    </row>
    <row r="122" spans="1:1" ht="14.25" customHeight="1">
      <c r="A122" s="9"/>
    </row>
    <row r="123" spans="1:1" ht="14.25" customHeight="1">
      <c r="A123" s="9"/>
    </row>
    <row r="124" spans="1:1" ht="14.25" customHeight="1">
      <c r="A124" s="9"/>
    </row>
    <row r="125" spans="1:1" ht="14.25" customHeight="1">
      <c r="A125" s="9"/>
    </row>
    <row r="126" spans="1:1" ht="14.25" customHeight="1">
      <c r="A126" s="9"/>
    </row>
    <row r="127" spans="1:1" ht="14.25" customHeight="1">
      <c r="A127" s="9"/>
    </row>
    <row r="128" spans="1:1" ht="14.25" customHeight="1">
      <c r="A128" s="9"/>
    </row>
    <row r="129" spans="1:1" ht="14.25" customHeight="1">
      <c r="A129" s="9"/>
    </row>
    <row r="130" spans="1:1" ht="14.25" customHeight="1">
      <c r="A130" s="9"/>
    </row>
    <row r="131" spans="1:1" ht="14.25" customHeight="1">
      <c r="A131" s="9"/>
    </row>
    <row r="132" spans="1:1" ht="14.25" customHeight="1">
      <c r="A132" s="9"/>
    </row>
    <row r="133" spans="1:1" ht="14.25" customHeight="1">
      <c r="A133" s="9"/>
    </row>
    <row r="134" spans="1:1" ht="14.25" customHeight="1">
      <c r="A134" s="9"/>
    </row>
    <row r="135" spans="1:1" ht="14.25" customHeight="1">
      <c r="A135" s="9"/>
    </row>
    <row r="136" spans="1:1" ht="14.25" customHeight="1">
      <c r="A136" s="9"/>
    </row>
    <row r="137" spans="1:1" ht="14.25" customHeight="1">
      <c r="A137" s="9"/>
    </row>
    <row r="138" spans="1:1" ht="14.25" customHeight="1">
      <c r="A138" s="9"/>
    </row>
    <row r="139" spans="1:1" ht="14.25" customHeight="1">
      <c r="A139" s="9"/>
    </row>
    <row r="140" spans="1:1" ht="14.25" customHeight="1">
      <c r="A140" s="9"/>
    </row>
    <row r="141" spans="1:1" ht="14.25" customHeight="1">
      <c r="A141" s="9"/>
    </row>
    <row r="142" spans="1:1" ht="14.25" customHeight="1">
      <c r="A142" s="9"/>
    </row>
    <row r="143" spans="1:1" ht="14.25" customHeight="1">
      <c r="A143" s="9"/>
    </row>
    <row r="144" spans="1:1" ht="14.25" customHeight="1">
      <c r="A144" s="9"/>
    </row>
    <row r="145" spans="1:1" ht="14.25" customHeight="1">
      <c r="A145" s="9"/>
    </row>
    <row r="146" spans="1:1" ht="14.25" customHeight="1">
      <c r="A146" s="9"/>
    </row>
    <row r="147" spans="1:1" ht="14.25" customHeight="1">
      <c r="A147" s="9"/>
    </row>
    <row r="148" spans="1:1" ht="14.25" customHeight="1">
      <c r="A148" s="9"/>
    </row>
    <row r="149" spans="1:1" ht="14.25" customHeight="1">
      <c r="A149" s="9"/>
    </row>
    <row r="150" spans="1:1" ht="14.25" customHeight="1">
      <c r="A150" s="9"/>
    </row>
    <row r="151" spans="1:1" ht="14.25" customHeight="1">
      <c r="A151" s="9"/>
    </row>
    <row r="152" spans="1:1" ht="14.25" customHeight="1">
      <c r="A152" s="9"/>
    </row>
    <row r="153" spans="1:1" ht="14.25" customHeight="1">
      <c r="A153" s="9"/>
    </row>
    <row r="154" spans="1:1" ht="14.25" customHeight="1">
      <c r="A154" s="9"/>
    </row>
    <row r="155" spans="1:1" ht="14.25" customHeight="1">
      <c r="A155" s="9"/>
    </row>
    <row r="156" spans="1:1" ht="14.25" customHeight="1">
      <c r="A156" s="9"/>
    </row>
    <row r="157" spans="1:1" ht="14.25" customHeight="1">
      <c r="A157" s="9"/>
    </row>
    <row r="158" spans="1:1" ht="14.25" customHeight="1">
      <c r="A158" s="9"/>
    </row>
    <row r="159" spans="1:1" ht="14.25" customHeight="1">
      <c r="A159" s="9"/>
    </row>
    <row r="160" spans="1:1" ht="14.25" customHeight="1">
      <c r="A160" s="9"/>
    </row>
    <row r="161" spans="1:1" ht="14.25" customHeight="1">
      <c r="A161" s="9"/>
    </row>
    <row r="162" spans="1:1" ht="14.25" customHeight="1">
      <c r="A162" s="9"/>
    </row>
    <row r="163" spans="1:1" ht="14.25" customHeight="1">
      <c r="A163" s="9"/>
    </row>
    <row r="164" spans="1:1" ht="14.25" customHeight="1">
      <c r="A164" s="9"/>
    </row>
    <row r="165" spans="1:1" ht="14.25" customHeight="1">
      <c r="A165" s="9"/>
    </row>
    <row r="166" spans="1:1" ht="14.25" customHeight="1">
      <c r="A166" s="9"/>
    </row>
    <row r="167" spans="1:1" ht="14.25" customHeight="1">
      <c r="A167" s="9"/>
    </row>
    <row r="168" spans="1:1" ht="14.25" customHeight="1">
      <c r="A168" s="9"/>
    </row>
    <row r="169" spans="1:1" ht="14.25" customHeight="1">
      <c r="A169" s="9"/>
    </row>
    <row r="170" spans="1:1" ht="14.25" customHeight="1">
      <c r="A170" s="9"/>
    </row>
    <row r="171" spans="1:1" ht="14.25" customHeight="1">
      <c r="A171" s="9"/>
    </row>
    <row r="172" spans="1:1" ht="14.25" customHeight="1">
      <c r="A172" s="9"/>
    </row>
    <row r="173" spans="1:1" ht="14.25" customHeight="1">
      <c r="A173" s="9"/>
    </row>
    <row r="174" spans="1:1" ht="14.25" customHeight="1">
      <c r="A174" s="9"/>
    </row>
    <row r="175" spans="1:1" ht="14.25" customHeight="1">
      <c r="A175" s="9"/>
    </row>
    <row r="176" spans="1:1" ht="14.25" customHeight="1">
      <c r="A176" s="9"/>
    </row>
    <row r="177" spans="1:1" ht="14.25" customHeight="1">
      <c r="A177" s="9"/>
    </row>
    <row r="178" spans="1:1" ht="14.25" customHeight="1">
      <c r="A178" s="9"/>
    </row>
    <row r="179" spans="1:1" ht="14.25" customHeight="1">
      <c r="A179" s="9"/>
    </row>
    <row r="180" spans="1:1" ht="14.25" customHeight="1">
      <c r="A180" s="9"/>
    </row>
    <row r="181" spans="1:1" ht="14.25" customHeight="1">
      <c r="A181" s="9"/>
    </row>
    <row r="182" spans="1:1" ht="14.25" customHeight="1">
      <c r="A182" s="9"/>
    </row>
    <row r="183" spans="1:1" ht="14.25" customHeight="1">
      <c r="A183" s="9"/>
    </row>
    <row r="184" spans="1:1" ht="14.25" customHeight="1">
      <c r="A184" s="9"/>
    </row>
    <row r="185" spans="1:1" ht="14.25" customHeight="1">
      <c r="A185" s="9"/>
    </row>
    <row r="186" spans="1:1" ht="14.25" customHeight="1">
      <c r="A186" s="9"/>
    </row>
    <row r="187" spans="1:1" ht="14.25" customHeight="1">
      <c r="A187" s="9"/>
    </row>
    <row r="188" spans="1:1" ht="14.25" customHeight="1">
      <c r="A188" s="9"/>
    </row>
    <row r="189" spans="1:1" ht="14.25" customHeight="1">
      <c r="A189" s="9"/>
    </row>
    <row r="190" spans="1:1" ht="14.25" customHeight="1">
      <c r="A190" s="9"/>
    </row>
    <row r="191" spans="1:1" ht="14.25" customHeight="1">
      <c r="A191" s="9"/>
    </row>
    <row r="192" spans="1:1" ht="14.25" customHeight="1">
      <c r="A192" s="9"/>
    </row>
    <row r="193" spans="1:1" ht="14.25" customHeight="1">
      <c r="A193" s="9"/>
    </row>
    <row r="194" spans="1:1" ht="14.25" customHeight="1">
      <c r="A194" s="9"/>
    </row>
    <row r="195" spans="1:1" ht="14.25" customHeight="1">
      <c r="A195" s="9"/>
    </row>
    <row r="196" spans="1:1" ht="14.25" customHeight="1">
      <c r="A196" s="9"/>
    </row>
    <row r="197" spans="1:1" ht="14.25" customHeight="1">
      <c r="A197" s="9"/>
    </row>
    <row r="198" spans="1:1" ht="14.25" customHeight="1">
      <c r="A198" s="9"/>
    </row>
    <row r="199" spans="1:1" ht="14.25" customHeight="1">
      <c r="A199" s="9"/>
    </row>
    <row r="200" spans="1:1" ht="14.25" customHeight="1">
      <c r="A200" s="9"/>
    </row>
    <row r="201" spans="1:1" ht="14.25" customHeight="1">
      <c r="A201" s="9"/>
    </row>
    <row r="202" spans="1:1" ht="14.25" customHeight="1">
      <c r="A202" s="9"/>
    </row>
    <row r="203" spans="1:1" ht="14.25" customHeight="1">
      <c r="A203" s="9"/>
    </row>
    <row r="204" spans="1:1" ht="14.25" customHeight="1">
      <c r="A204" s="9"/>
    </row>
    <row r="205" spans="1:1" ht="14.25" customHeight="1">
      <c r="A205" s="9"/>
    </row>
    <row r="206" spans="1:1" ht="14.25" customHeight="1">
      <c r="A206" s="9"/>
    </row>
    <row r="207" spans="1:1" ht="14.25" customHeight="1">
      <c r="A207" s="9"/>
    </row>
    <row r="208" spans="1:1" ht="14.25" customHeight="1">
      <c r="A208" s="9"/>
    </row>
    <row r="209" spans="1:1" ht="14.25" customHeight="1">
      <c r="A209" s="9"/>
    </row>
    <row r="210" spans="1:1" ht="14.25" customHeight="1">
      <c r="A210" s="9"/>
    </row>
    <row r="211" spans="1:1" ht="14.25" customHeight="1">
      <c r="A211" s="9"/>
    </row>
    <row r="212" spans="1:1" ht="14.25" customHeight="1">
      <c r="A212" s="9"/>
    </row>
    <row r="213" spans="1:1" ht="14.25" customHeight="1">
      <c r="A213" s="9"/>
    </row>
    <row r="214" spans="1:1" ht="14.25" customHeight="1">
      <c r="A214" s="9"/>
    </row>
    <row r="215" spans="1:1" ht="14.25" customHeight="1">
      <c r="A215" s="9"/>
    </row>
    <row r="216" spans="1:1" ht="14.25" customHeight="1">
      <c r="A216" s="9"/>
    </row>
    <row r="217" spans="1:1" ht="14.25" customHeight="1">
      <c r="A217" s="9"/>
    </row>
    <row r="218" spans="1:1" ht="14.25" customHeight="1">
      <c r="A218" s="9"/>
    </row>
    <row r="219" spans="1:1" ht="14.25" customHeight="1">
      <c r="A219" s="9"/>
    </row>
    <row r="220" spans="1:1" ht="14.25" customHeight="1">
      <c r="A220" s="9"/>
    </row>
    <row r="221" spans="1:1" ht="14.25" customHeight="1">
      <c r="A221" s="9"/>
    </row>
    <row r="222" spans="1:1" ht="14.25" customHeight="1">
      <c r="A222" s="9"/>
    </row>
    <row r="223" spans="1:1" ht="14.25" customHeight="1">
      <c r="A223" s="9"/>
    </row>
    <row r="224" spans="1:1" ht="14.25" customHeight="1">
      <c r="A224" s="9"/>
    </row>
    <row r="225" spans="1:1" ht="14.25" customHeight="1">
      <c r="A225" s="9"/>
    </row>
    <row r="226" spans="1:1" ht="14.25" customHeight="1">
      <c r="A226" s="9"/>
    </row>
    <row r="227" spans="1:1" ht="14.25" customHeight="1">
      <c r="A227" s="9"/>
    </row>
    <row r="228" spans="1:1" ht="14.25" customHeight="1">
      <c r="A228" s="9"/>
    </row>
    <row r="229" spans="1:1" ht="14.25" customHeight="1">
      <c r="A229" s="9"/>
    </row>
    <row r="230" spans="1:1" ht="14.25" customHeight="1">
      <c r="A230" s="9"/>
    </row>
    <row r="231" spans="1:1" ht="14.25" customHeight="1">
      <c r="A231" s="9"/>
    </row>
    <row r="232" spans="1:1" ht="14.25" customHeight="1">
      <c r="A232" s="9"/>
    </row>
    <row r="233" spans="1:1" ht="14.25" customHeight="1">
      <c r="A233" s="9"/>
    </row>
    <row r="234" spans="1:1" ht="14.25" customHeight="1">
      <c r="A234" s="9"/>
    </row>
    <row r="235" spans="1:1" ht="14.25" customHeight="1">
      <c r="A235" s="9"/>
    </row>
    <row r="236" spans="1:1" ht="14.25" customHeight="1">
      <c r="A236" s="9"/>
    </row>
    <row r="237" spans="1:1" ht="14.25" customHeight="1">
      <c r="A237" s="9"/>
    </row>
    <row r="238" spans="1:1" ht="14.25" customHeight="1">
      <c r="A238" s="9"/>
    </row>
    <row r="239" spans="1:1" ht="14.25" customHeight="1">
      <c r="A239" s="9"/>
    </row>
    <row r="240" spans="1:1" ht="14.25" customHeight="1">
      <c r="A240" s="9"/>
    </row>
    <row r="241" spans="1:1" ht="14.25" customHeight="1">
      <c r="A241" s="9"/>
    </row>
    <row r="242" spans="1:1" ht="14.25" customHeight="1">
      <c r="A242" s="9"/>
    </row>
    <row r="243" spans="1:1" ht="14.25" customHeight="1">
      <c r="A243" s="9"/>
    </row>
    <row r="244" spans="1:1" ht="14.25" customHeight="1">
      <c r="A244" s="9"/>
    </row>
    <row r="245" spans="1:1" ht="14.25" customHeight="1">
      <c r="A245" s="9"/>
    </row>
    <row r="246" spans="1:1" ht="14.25" customHeight="1">
      <c r="A246" s="9"/>
    </row>
    <row r="247" spans="1:1" ht="14.25" customHeight="1">
      <c r="A247" s="9"/>
    </row>
    <row r="248" spans="1:1" ht="14.25" customHeight="1">
      <c r="A248" s="9"/>
    </row>
    <row r="249" spans="1:1" ht="14.25" customHeight="1">
      <c r="A249" s="9"/>
    </row>
    <row r="250" spans="1:1" ht="14.25" customHeight="1">
      <c r="A250" s="9"/>
    </row>
    <row r="251" spans="1:1" ht="14.25" customHeight="1">
      <c r="A251" s="9"/>
    </row>
    <row r="252" spans="1:1" ht="14.25" customHeight="1">
      <c r="A252" s="9"/>
    </row>
    <row r="253" spans="1:1" ht="14.25" customHeight="1">
      <c r="A253" s="9"/>
    </row>
    <row r="254" spans="1:1" ht="14.25" customHeight="1">
      <c r="A254" s="9"/>
    </row>
    <row r="255" spans="1:1" ht="14.25" customHeight="1">
      <c r="A255" s="9"/>
    </row>
    <row r="256" spans="1:1" ht="14.25" customHeight="1">
      <c r="A256" s="9"/>
    </row>
    <row r="257" spans="1:1" ht="14.25" customHeight="1">
      <c r="A257" s="9"/>
    </row>
    <row r="258" spans="1:1" ht="14.25" customHeight="1">
      <c r="A258" s="9"/>
    </row>
    <row r="259" spans="1:1" ht="14.25" customHeight="1">
      <c r="A259" s="9"/>
    </row>
    <row r="260" spans="1:1" ht="14.25" customHeight="1">
      <c r="A260" s="9"/>
    </row>
    <row r="261" spans="1:1" ht="14.25" customHeight="1">
      <c r="A261" s="9"/>
    </row>
    <row r="262" spans="1:1" ht="14.25" customHeight="1">
      <c r="A262" s="9"/>
    </row>
    <row r="263" spans="1:1" ht="14.25" customHeight="1">
      <c r="A263" s="9"/>
    </row>
    <row r="264" spans="1:1" ht="14.25" customHeight="1">
      <c r="A264" s="9"/>
    </row>
    <row r="265" spans="1:1" ht="14.25" customHeight="1">
      <c r="A265" s="9"/>
    </row>
    <row r="266" spans="1:1" ht="14.25" customHeight="1">
      <c r="A266" s="9"/>
    </row>
    <row r="267" spans="1:1" ht="14.25" customHeight="1">
      <c r="A267" s="9"/>
    </row>
    <row r="268" spans="1:1" ht="14.25" customHeight="1">
      <c r="A268" s="9"/>
    </row>
    <row r="269" spans="1:1" ht="14.25" customHeight="1">
      <c r="A269" s="9"/>
    </row>
    <row r="270" spans="1:1" ht="14.25" customHeight="1">
      <c r="A270" s="9"/>
    </row>
    <row r="271" spans="1:1" ht="14.25" customHeight="1">
      <c r="A271" s="9"/>
    </row>
    <row r="272" spans="1:1" ht="14.25" customHeight="1">
      <c r="A272" s="9"/>
    </row>
    <row r="273" spans="1:1" ht="14.25" customHeight="1">
      <c r="A273" s="9"/>
    </row>
    <row r="274" spans="1:1" ht="14.25" customHeight="1">
      <c r="A274" s="9"/>
    </row>
    <row r="275" spans="1:1" ht="14.25" customHeight="1">
      <c r="A275" s="9"/>
    </row>
    <row r="276" spans="1:1" ht="14.25" customHeight="1">
      <c r="A276" s="9"/>
    </row>
    <row r="277" spans="1:1" ht="14.25" customHeight="1">
      <c r="A277" s="9"/>
    </row>
    <row r="278" spans="1:1" ht="14.25" customHeight="1">
      <c r="A278" s="9"/>
    </row>
    <row r="279" spans="1:1" ht="14.25" customHeight="1">
      <c r="A279" s="9"/>
    </row>
    <row r="280" spans="1:1" ht="14.25" customHeight="1">
      <c r="A280" s="9"/>
    </row>
    <row r="281" spans="1:1" ht="14.25" customHeight="1">
      <c r="A281" s="9"/>
    </row>
    <row r="282" spans="1:1" ht="14.25" customHeight="1">
      <c r="A282" s="9"/>
    </row>
    <row r="283" spans="1:1" ht="14.25" customHeight="1">
      <c r="A283" s="9"/>
    </row>
    <row r="284" spans="1:1" ht="14.25" customHeight="1">
      <c r="A284" s="9"/>
    </row>
    <row r="285" spans="1:1" ht="14.25" customHeight="1">
      <c r="A285" s="9"/>
    </row>
    <row r="286" spans="1:1" ht="14.25" customHeight="1">
      <c r="A286" s="9"/>
    </row>
    <row r="287" spans="1:1" ht="14.25" customHeight="1">
      <c r="A287" s="9"/>
    </row>
    <row r="288" spans="1:1" ht="14.25" customHeight="1">
      <c r="A288" s="9"/>
    </row>
    <row r="289" spans="1:1" ht="14.25" customHeight="1">
      <c r="A289" s="9"/>
    </row>
    <row r="290" spans="1:1" ht="14.25" customHeight="1">
      <c r="A290" s="9"/>
    </row>
    <row r="291" spans="1:1" ht="14.25" customHeight="1">
      <c r="A291" s="9"/>
    </row>
    <row r="292" spans="1:1" ht="14.25" customHeight="1">
      <c r="A292" s="9"/>
    </row>
    <row r="293" spans="1:1" ht="14.25" customHeight="1">
      <c r="A293" s="9"/>
    </row>
    <row r="294" spans="1:1" ht="14.25" customHeight="1">
      <c r="A294" s="9"/>
    </row>
    <row r="295" spans="1:1" ht="14.25" customHeight="1">
      <c r="A295" s="9"/>
    </row>
    <row r="296" spans="1:1" ht="14.25" customHeight="1">
      <c r="A296" s="9"/>
    </row>
    <row r="297" spans="1:1" ht="14.25" customHeight="1">
      <c r="A297" s="9"/>
    </row>
    <row r="298" spans="1:1" ht="14.25" customHeight="1">
      <c r="A298" s="9"/>
    </row>
    <row r="299" spans="1:1" ht="14.25" customHeight="1">
      <c r="A299" s="9"/>
    </row>
    <row r="300" spans="1:1" ht="14.25" customHeight="1">
      <c r="A300" s="9"/>
    </row>
    <row r="301" spans="1:1" ht="14.25" customHeight="1">
      <c r="A301" s="9"/>
    </row>
    <row r="302" spans="1:1" ht="14.25" customHeight="1">
      <c r="A302" s="9"/>
    </row>
    <row r="303" spans="1:1" ht="14.25" customHeight="1">
      <c r="A303" s="9"/>
    </row>
    <row r="304" spans="1:1" ht="14.25" customHeight="1">
      <c r="A304" s="9"/>
    </row>
    <row r="305" spans="1:1" ht="14.25" customHeight="1">
      <c r="A305" s="9"/>
    </row>
    <row r="306" spans="1:1" ht="14.25" customHeight="1">
      <c r="A306" s="9"/>
    </row>
    <row r="307" spans="1:1" ht="14.25" customHeight="1">
      <c r="A307" s="9"/>
    </row>
    <row r="308" spans="1:1" ht="14.25" customHeight="1">
      <c r="A308" s="9"/>
    </row>
    <row r="309" spans="1:1" ht="14.25" customHeight="1">
      <c r="A309" s="9"/>
    </row>
    <row r="310" spans="1:1" ht="14.25" customHeight="1">
      <c r="A310" s="9"/>
    </row>
    <row r="311" spans="1:1" ht="14.25" customHeight="1">
      <c r="A311" s="9"/>
    </row>
    <row r="312" spans="1:1" ht="14.25" customHeight="1">
      <c r="A312" s="9"/>
    </row>
    <row r="313" spans="1:1" ht="14.25" customHeight="1">
      <c r="A313" s="9"/>
    </row>
    <row r="314" spans="1:1" ht="14.25" customHeight="1">
      <c r="A314" s="9"/>
    </row>
    <row r="315" spans="1:1" ht="14.25" customHeight="1">
      <c r="A315" s="9"/>
    </row>
    <row r="316" spans="1:1" ht="14.25" customHeight="1">
      <c r="A316" s="9"/>
    </row>
    <row r="317" spans="1:1" ht="14.25" customHeight="1">
      <c r="A317" s="9"/>
    </row>
    <row r="318" spans="1:1" ht="14.25" customHeight="1">
      <c r="A318" s="9"/>
    </row>
    <row r="319" spans="1:1" ht="14.25" customHeight="1">
      <c r="A319" s="9"/>
    </row>
    <row r="320" spans="1:1" ht="14.25" customHeight="1">
      <c r="A320" s="9"/>
    </row>
    <row r="321" spans="1:1" ht="14.25" customHeight="1">
      <c r="A321" s="9"/>
    </row>
    <row r="322" spans="1:1" ht="14.25" customHeight="1">
      <c r="A322" s="9"/>
    </row>
    <row r="323" spans="1:1" ht="14.25" customHeight="1">
      <c r="A323" s="9"/>
    </row>
    <row r="324" spans="1:1" ht="14.25" customHeight="1">
      <c r="A324" s="9"/>
    </row>
    <row r="325" spans="1:1" ht="14.25" customHeight="1">
      <c r="A325" s="9"/>
    </row>
    <row r="326" spans="1:1" ht="14.25" customHeight="1">
      <c r="A326" s="9"/>
    </row>
    <row r="327" spans="1:1" ht="14.25" customHeight="1">
      <c r="A327" s="9"/>
    </row>
    <row r="328" spans="1:1" ht="14.25" customHeight="1">
      <c r="A328" s="9"/>
    </row>
    <row r="329" spans="1:1" ht="14.25" customHeight="1">
      <c r="A329" s="9"/>
    </row>
    <row r="330" spans="1:1" ht="14.25" customHeight="1">
      <c r="A330" s="9"/>
    </row>
    <row r="331" spans="1:1" ht="14.25" customHeight="1">
      <c r="A331" s="9"/>
    </row>
    <row r="332" spans="1:1" ht="14.25" customHeight="1">
      <c r="A332" s="9"/>
    </row>
    <row r="333" spans="1:1" ht="14.25" customHeight="1">
      <c r="A333" s="9"/>
    </row>
    <row r="334" spans="1:1" ht="14.25" customHeight="1">
      <c r="A334" s="9"/>
    </row>
    <row r="335" spans="1:1" ht="14.25" customHeight="1">
      <c r="A335" s="9"/>
    </row>
    <row r="336" spans="1:1" ht="14.25" customHeight="1">
      <c r="A336" s="9"/>
    </row>
    <row r="337" spans="1:1" ht="14.25" customHeight="1">
      <c r="A337" s="9"/>
    </row>
    <row r="338" spans="1:1" ht="14.25" customHeight="1">
      <c r="A338" s="9"/>
    </row>
    <row r="339" spans="1:1" ht="14.25" customHeight="1">
      <c r="A339" s="9"/>
    </row>
    <row r="340" spans="1:1" ht="14.25" customHeight="1">
      <c r="A340" s="9"/>
    </row>
    <row r="341" spans="1:1" ht="14.25" customHeight="1">
      <c r="A341" s="9"/>
    </row>
    <row r="342" spans="1:1" ht="14.25" customHeight="1">
      <c r="A342" s="9"/>
    </row>
    <row r="343" spans="1:1" ht="14.25" customHeight="1">
      <c r="A343" s="9"/>
    </row>
    <row r="344" spans="1:1" ht="14.25" customHeight="1">
      <c r="A344" s="9"/>
    </row>
    <row r="345" spans="1:1" ht="14.25" customHeight="1">
      <c r="A345" s="9"/>
    </row>
    <row r="346" spans="1:1" ht="14.25" customHeight="1">
      <c r="A346" s="9"/>
    </row>
    <row r="347" spans="1:1" ht="14.25" customHeight="1">
      <c r="A347" s="9"/>
    </row>
    <row r="348" spans="1:1" ht="14.25" customHeight="1">
      <c r="A348" s="9"/>
    </row>
    <row r="349" spans="1:1" ht="14.25" customHeight="1">
      <c r="A349" s="9"/>
    </row>
    <row r="350" spans="1:1" ht="14.25" customHeight="1">
      <c r="A350" s="9"/>
    </row>
    <row r="351" spans="1:1" ht="14.25" customHeight="1">
      <c r="A351" s="9"/>
    </row>
    <row r="352" spans="1:1" ht="14.25" customHeight="1">
      <c r="A352" s="9"/>
    </row>
    <row r="353" spans="1:1" ht="14.25" customHeight="1">
      <c r="A353" s="9"/>
    </row>
    <row r="354" spans="1:1" ht="14.25" customHeight="1">
      <c r="A354" s="9"/>
    </row>
    <row r="355" spans="1:1" ht="14.25" customHeight="1">
      <c r="A355" s="9"/>
    </row>
    <row r="356" spans="1:1" ht="14.25" customHeight="1">
      <c r="A356" s="9"/>
    </row>
    <row r="357" spans="1:1" ht="14.25" customHeight="1">
      <c r="A357" s="9"/>
    </row>
    <row r="358" spans="1:1" ht="14.25" customHeight="1">
      <c r="A358" s="9"/>
    </row>
    <row r="359" spans="1:1" ht="14.25" customHeight="1">
      <c r="A359" s="9"/>
    </row>
    <row r="360" spans="1:1" ht="14.25" customHeight="1">
      <c r="A360" s="9"/>
    </row>
    <row r="361" spans="1:1" ht="14.25" customHeight="1">
      <c r="A361" s="9"/>
    </row>
    <row r="362" spans="1:1" ht="14.25" customHeight="1">
      <c r="A362" s="9"/>
    </row>
    <row r="363" spans="1:1" ht="14.25" customHeight="1">
      <c r="A363" s="9"/>
    </row>
    <row r="364" spans="1:1" ht="14.25" customHeight="1">
      <c r="A364" s="9"/>
    </row>
    <row r="365" spans="1:1" ht="14.25" customHeight="1">
      <c r="A365" s="9"/>
    </row>
    <row r="366" spans="1:1" ht="14.25" customHeight="1">
      <c r="A366" s="9"/>
    </row>
    <row r="367" spans="1:1" ht="14.25" customHeight="1">
      <c r="A367" s="9"/>
    </row>
    <row r="368" spans="1:1" ht="14.25" customHeight="1">
      <c r="A368" s="9"/>
    </row>
    <row r="369" spans="1:1" ht="14.25" customHeight="1">
      <c r="A369" s="9"/>
    </row>
    <row r="370" spans="1:1" ht="14.25" customHeight="1">
      <c r="A370" s="9"/>
    </row>
    <row r="371" spans="1:1" ht="14.25" customHeight="1">
      <c r="A371" s="9"/>
    </row>
    <row r="372" spans="1:1" ht="14.25" customHeight="1">
      <c r="A372" s="9"/>
    </row>
    <row r="373" spans="1:1" ht="14.25" customHeight="1">
      <c r="A373" s="9"/>
    </row>
    <row r="374" spans="1:1" ht="14.25" customHeight="1">
      <c r="A374" s="9"/>
    </row>
    <row r="375" spans="1:1" ht="14.25" customHeight="1">
      <c r="A375" s="9"/>
    </row>
    <row r="376" spans="1:1" ht="14.25" customHeight="1">
      <c r="A376" s="9"/>
    </row>
    <row r="377" spans="1:1" ht="14.25" customHeight="1">
      <c r="A377" s="9"/>
    </row>
    <row r="378" spans="1:1" ht="14.25" customHeight="1">
      <c r="A378" s="9"/>
    </row>
    <row r="379" spans="1:1" ht="14.25" customHeight="1">
      <c r="A379" s="9"/>
    </row>
    <row r="380" spans="1:1" ht="14.25" customHeight="1">
      <c r="A380" s="9"/>
    </row>
    <row r="381" spans="1:1" ht="14.25" customHeight="1">
      <c r="A381" s="9"/>
    </row>
    <row r="382" spans="1:1" ht="14.25" customHeight="1">
      <c r="A382" s="9"/>
    </row>
    <row r="383" spans="1:1" ht="14.25" customHeight="1">
      <c r="A383" s="9"/>
    </row>
    <row r="384" spans="1:1" ht="14.25" customHeight="1">
      <c r="A384" s="9"/>
    </row>
    <row r="385" spans="1:1" ht="14.25" customHeight="1">
      <c r="A385" s="9"/>
    </row>
    <row r="386" spans="1:1" ht="14.25" customHeight="1">
      <c r="A386" s="9"/>
    </row>
    <row r="387" spans="1:1" ht="14.25" customHeight="1">
      <c r="A387" s="9"/>
    </row>
    <row r="388" spans="1:1" ht="14.25" customHeight="1">
      <c r="A388" s="9"/>
    </row>
    <row r="389" spans="1:1" ht="14.25" customHeight="1">
      <c r="A389" s="9"/>
    </row>
    <row r="390" spans="1:1" ht="14.25" customHeight="1">
      <c r="A390" s="9"/>
    </row>
    <row r="391" spans="1:1" ht="14.25" customHeight="1">
      <c r="A391" s="9"/>
    </row>
    <row r="392" spans="1:1" ht="14.25" customHeight="1">
      <c r="A392" s="9"/>
    </row>
    <row r="393" spans="1:1" ht="14.25" customHeight="1">
      <c r="A393" s="9"/>
    </row>
    <row r="394" spans="1:1" ht="14.25" customHeight="1">
      <c r="A394" s="9"/>
    </row>
    <row r="395" spans="1:1" ht="14.25" customHeight="1">
      <c r="A395" s="9"/>
    </row>
    <row r="396" spans="1:1" ht="14.25" customHeight="1">
      <c r="A396" s="9"/>
    </row>
    <row r="397" spans="1:1" ht="14.25" customHeight="1">
      <c r="A397" s="9"/>
    </row>
    <row r="398" spans="1:1" ht="14.25" customHeight="1">
      <c r="A398" s="9"/>
    </row>
    <row r="399" spans="1:1" ht="14.25" customHeight="1">
      <c r="A399" s="9"/>
    </row>
    <row r="400" spans="1:1" ht="14.25" customHeight="1">
      <c r="A400" s="9"/>
    </row>
    <row r="401" spans="1:1" ht="14.25" customHeight="1">
      <c r="A401" s="9"/>
    </row>
    <row r="402" spans="1:1" ht="14.25" customHeight="1">
      <c r="A402" s="9"/>
    </row>
    <row r="403" spans="1:1" ht="14.25" customHeight="1">
      <c r="A403" s="9"/>
    </row>
    <row r="404" spans="1:1" ht="14.25" customHeight="1">
      <c r="A404" s="9"/>
    </row>
    <row r="405" spans="1:1" ht="14.25" customHeight="1">
      <c r="A405" s="9"/>
    </row>
    <row r="406" spans="1:1" ht="14.25" customHeight="1">
      <c r="A406" s="9"/>
    </row>
    <row r="407" spans="1:1" ht="14.25" customHeight="1">
      <c r="A407" s="9"/>
    </row>
    <row r="408" spans="1:1" ht="14.25" customHeight="1">
      <c r="A408" s="9"/>
    </row>
    <row r="409" spans="1:1" ht="14.25" customHeight="1">
      <c r="A409" s="9"/>
    </row>
    <row r="410" spans="1:1" ht="14.25" customHeight="1">
      <c r="A410" s="9"/>
    </row>
    <row r="411" spans="1:1" ht="14.25" customHeight="1">
      <c r="A411" s="9"/>
    </row>
    <row r="412" spans="1:1" ht="14.25" customHeight="1">
      <c r="A412" s="9"/>
    </row>
    <row r="413" spans="1:1" ht="14.25" customHeight="1">
      <c r="A413" s="9"/>
    </row>
    <row r="414" spans="1:1" ht="14.25" customHeight="1">
      <c r="A414" s="9"/>
    </row>
    <row r="415" spans="1:1" ht="14.25" customHeight="1">
      <c r="A415" s="9"/>
    </row>
    <row r="416" spans="1:1" ht="14.25" customHeight="1">
      <c r="A416" s="9"/>
    </row>
    <row r="417" spans="1:1" ht="14.25" customHeight="1">
      <c r="A417" s="9"/>
    </row>
    <row r="418" spans="1:1" ht="14.25" customHeight="1">
      <c r="A418" s="9"/>
    </row>
    <row r="419" spans="1:1" ht="14.25" customHeight="1">
      <c r="A419" s="9"/>
    </row>
    <row r="420" spans="1:1" ht="14.25" customHeight="1">
      <c r="A420" s="9"/>
    </row>
    <row r="421" spans="1:1" ht="14.25" customHeight="1">
      <c r="A421" s="9"/>
    </row>
    <row r="422" spans="1:1" ht="14.25" customHeight="1">
      <c r="A422" s="9"/>
    </row>
    <row r="423" spans="1:1" ht="14.25" customHeight="1">
      <c r="A423" s="9"/>
    </row>
    <row r="424" spans="1:1" ht="14.25" customHeight="1">
      <c r="A424" s="9"/>
    </row>
    <row r="425" spans="1:1" ht="14.25" customHeight="1">
      <c r="A425" s="9"/>
    </row>
    <row r="426" spans="1:1" ht="14.25" customHeight="1">
      <c r="A426" s="9"/>
    </row>
    <row r="427" spans="1:1" ht="14.25" customHeight="1">
      <c r="A427" s="9"/>
    </row>
    <row r="428" spans="1:1" ht="14.25" customHeight="1">
      <c r="A428" s="9"/>
    </row>
    <row r="429" spans="1:1" ht="14.25" customHeight="1">
      <c r="A429" s="9"/>
    </row>
    <row r="430" spans="1:1" ht="14.25" customHeight="1">
      <c r="A430" s="9"/>
    </row>
    <row r="431" spans="1:1" ht="14.25" customHeight="1">
      <c r="A431" s="9"/>
    </row>
    <row r="432" spans="1:1" ht="14.25" customHeight="1">
      <c r="A432" s="9"/>
    </row>
    <row r="433" spans="1:1" ht="14.25" customHeight="1">
      <c r="A433" s="9"/>
    </row>
    <row r="434" spans="1:1" ht="14.25" customHeight="1">
      <c r="A434" s="9"/>
    </row>
    <row r="435" spans="1:1" ht="14.25" customHeight="1">
      <c r="A435" s="9"/>
    </row>
    <row r="436" spans="1:1" ht="14.25" customHeight="1">
      <c r="A436" s="9"/>
    </row>
    <row r="437" spans="1:1" ht="14.25" customHeight="1">
      <c r="A437" s="9"/>
    </row>
    <row r="438" spans="1:1" ht="14.25" customHeight="1">
      <c r="A438" s="9"/>
    </row>
    <row r="439" spans="1:1" ht="14.25" customHeight="1">
      <c r="A439" s="9"/>
    </row>
    <row r="440" spans="1:1" ht="14.25" customHeight="1">
      <c r="A440" s="9"/>
    </row>
    <row r="441" spans="1:1" ht="14.25" customHeight="1">
      <c r="A441" s="9"/>
    </row>
    <row r="442" spans="1:1" ht="14.25" customHeight="1">
      <c r="A442" s="9"/>
    </row>
    <row r="443" spans="1:1" ht="14.25" customHeight="1">
      <c r="A443" s="9"/>
    </row>
    <row r="444" spans="1:1" ht="14.25" customHeight="1">
      <c r="A444" s="9"/>
    </row>
    <row r="445" spans="1:1" ht="14.25" customHeight="1">
      <c r="A445" s="9"/>
    </row>
    <row r="446" spans="1:1" ht="14.25" customHeight="1">
      <c r="A446" s="9"/>
    </row>
    <row r="447" spans="1:1" ht="14.25" customHeight="1">
      <c r="A447" s="9"/>
    </row>
    <row r="448" spans="1:1" ht="14.25" customHeight="1">
      <c r="A448" s="9"/>
    </row>
    <row r="449" spans="1:1" ht="14.25" customHeight="1">
      <c r="A449" s="9"/>
    </row>
    <row r="450" spans="1:1" ht="14.25" customHeight="1">
      <c r="A450" s="9"/>
    </row>
    <row r="451" spans="1:1" ht="14.25" customHeight="1">
      <c r="A451" s="9"/>
    </row>
    <row r="452" spans="1:1" ht="14.25" customHeight="1">
      <c r="A452" s="9"/>
    </row>
    <row r="453" spans="1:1" ht="14.25" customHeight="1">
      <c r="A453" s="9"/>
    </row>
    <row r="454" spans="1:1" ht="14.25" customHeight="1">
      <c r="A454" s="9"/>
    </row>
    <row r="455" spans="1:1" ht="14.25" customHeight="1">
      <c r="A455" s="9"/>
    </row>
    <row r="456" spans="1:1" ht="14.25" customHeight="1">
      <c r="A456" s="9"/>
    </row>
    <row r="457" spans="1:1" ht="14.25" customHeight="1">
      <c r="A457" s="9"/>
    </row>
    <row r="458" spans="1:1" ht="14.25" customHeight="1">
      <c r="A458" s="9"/>
    </row>
    <row r="459" spans="1:1" ht="14.25" customHeight="1">
      <c r="A459" s="9"/>
    </row>
    <row r="460" spans="1:1" ht="14.25" customHeight="1">
      <c r="A460" s="9"/>
    </row>
    <row r="461" spans="1:1" ht="14.25" customHeight="1">
      <c r="A461" s="9"/>
    </row>
    <row r="462" spans="1:1" ht="14.25" customHeight="1">
      <c r="A462" s="9"/>
    </row>
    <row r="463" spans="1:1" ht="14.25" customHeight="1">
      <c r="A463" s="9"/>
    </row>
    <row r="464" spans="1:1" ht="14.25" customHeight="1">
      <c r="A464" s="9"/>
    </row>
    <row r="465" spans="1:1" ht="14.25" customHeight="1">
      <c r="A465" s="9"/>
    </row>
    <row r="466" spans="1:1" ht="14.25" customHeight="1">
      <c r="A466" s="9"/>
    </row>
    <row r="467" spans="1:1" ht="14.25" customHeight="1">
      <c r="A467" s="9"/>
    </row>
    <row r="468" spans="1:1" ht="14.25" customHeight="1">
      <c r="A468" s="9"/>
    </row>
    <row r="469" spans="1:1" ht="14.25" customHeight="1">
      <c r="A469" s="9"/>
    </row>
    <row r="470" spans="1:1" ht="14.25" customHeight="1">
      <c r="A470" s="9"/>
    </row>
    <row r="471" spans="1:1" ht="14.25" customHeight="1">
      <c r="A471" s="9"/>
    </row>
    <row r="472" spans="1:1" ht="14.25" customHeight="1">
      <c r="A472" s="9"/>
    </row>
    <row r="473" spans="1:1" ht="14.25" customHeight="1">
      <c r="A473" s="9"/>
    </row>
    <row r="474" spans="1:1" ht="14.25" customHeight="1">
      <c r="A474" s="9"/>
    </row>
    <row r="475" spans="1:1" ht="14.25" customHeight="1">
      <c r="A475" s="9"/>
    </row>
    <row r="476" spans="1:1" ht="14.25" customHeight="1">
      <c r="A476" s="9"/>
    </row>
    <row r="477" spans="1:1" ht="14.25" customHeight="1">
      <c r="A477" s="9"/>
    </row>
    <row r="478" spans="1:1" ht="14.25" customHeight="1">
      <c r="A478" s="9"/>
    </row>
    <row r="479" spans="1:1" ht="14.25" customHeight="1">
      <c r="A479" s="9"/>
    </row>
    <row r="480" spans="1:1" ht="14.25" customHeight="1">
      <c r="A480" s="9"/>
    </row>
    <row r="481" spans="1:1" ht="14.25" customHeight="1">
      <c r="A481" s="9"/>
    </row>
    <row r="482" spans="1:1" ht="14.25" customHeight="1">
      <c r="A482" s="9"/>
    </row>
    <row r="483" spans="1:1" ht="14.25" customHeight="1">
      <c r="A483" s="9"/>
    </row>
    <row r="484" spans="1:1" ht="14.25" customHeight="1">
      <c r="A484" s="9"/>
    </row>
    <row r="485" spans="1:1" ht="14.25" customHeight="1">
      <c r="A485" s="9"/>
    </row>
    <row r="486" spans="1:1" ht="14.25" customHeight="1">
      <c r="A486" s="9"/>
    </row>
    <row r="487" spans="1:1" ht="14.25" customHeight="1">
      <c r="A487" s="9"/>
    </row>
    <row r="488" spans="1:1" ht="14.25" customHeight="1">
      <c r="A488" s="9"/>
    </row>
    <row r="489" spans="1:1" ht="14.25" customHeight="1">
      <c r="A489" s="9"/>
    </row>
    <row r="490" spans="1:1" ht="14.25" customHeight="1">
      <c r="A490" s="9"/>
    </row>
    <row r="491" spans="1:1" ht="14.25" customHeight="1">
      <c r="A491" s="9"/>
    </row>
    <row r="492" spans="1:1" ht="14.25" customHeight="1">
      <c r="A492" s="9"/>
    </row>
    <row r="493" spans="1:1" ht="14.25" customHeight="1">
      <c r="A493" s="9"/>
    </row>
    <row r="494" spans="1:1" ht="14.25" customHeight="1">
      <c r="A494" s="9"/>
    </row>
    <row r="495" spans="1:1" ht="14.25" customHeight="1">
      <c r="A495" s="9"/>
    </row>
    <row r="496" spans="1:1" ht="14.25" customHeight="1">
      <c r="A496" s="9"/>
    </row>
    <row r="497" spans="1:1" ht="14.25" customHeight="1">
      <c r="A497" s="9"/>
    </row>
    <row r="498" spans="1:1" ht="14.25" customHeight="1">
      <c r="A498" s="9"/>
    </row>
    <row r="499" spans="1:1" ht="14.25" customHeight="1">
      <c r="A499" s="9"/>
    </row>
    <row r="500" spans="1:1" ht="14.25" customHeight="1">
      <c r="A500" s="9"/>
    </row>
    <row r="501" spans="1:1" ht="14.25" customHeight="1">
      <c r="A501" s="9"/>
    </row>
    <row r="502" spans="1:1" ht="14.25" customHeight="1">
      <c r="A502" s="9"/>
    </row>
    <row r="503" spans="1:1" ht="14.25" customHeight="1">
      <c r="A503" s="9"/>
    </row>
    <row r="504" spans="1:1" ht="14.25" customHeight="1">
      <c r="A504" s="9"/>
    </row>
    <row r="505" spans="1:1" ht="14.25" customHeight="1">
      <c r="A505" s="9"/>
    </row>
    <row r="506" spans="1:1" ht="14.25" customHeight="1">
      <c r="A506" s="9"/>
    </row>
    <row r="507" spans="1:1" ht="14.25" customHeight="1">
      <c r="A507" s="9"/>
    </row>
    <row r="508" spans="1:1" ht="14.25" customHeight="1">
      <c r="A508" s="9"/>
    </row>
    <row r="509" spans="1:1" ht="14.25" customHeight="1">
      <c r="A509" s="9"/>
    </row>
    <row r="510" spans="1:1" ht="14.25" customHeight="1">
      <c r="A510" s="9"/>
    </row>
    <row r="511" spans="1:1" ht="14.25" customHeight="1">
      <c r="A511" s="9"/>
    </row>
    <row r="512" spans="1:1" ht="14.25" customHeight="1">
      <c r="A512" s="9"/>
    </row>
    <row r="513" spans="1:1" ht="14.25" customHeight="1">
      <c r="A513" s="9"/>
    </row>
    <row r="514" spans="1:1" ht="14.25" customHeight="1">
      <c r="A514" s="9"/>
    </row>
    <row r="515" spans="1:1" ht="14.25" customHeight="1">
      <c r="A515" s="9"/>
    </row>
    <row r="516" spans="1:1" ht="14.25" customHeight="1">
      <c r="A516" s="9"/>
    </row>
    <row r="517" spans="1:1" ht="14.25" customHeight="1">
      <c r="A517" s="9"/>
    </row>
    <row r="518" spans="1:1" ht="14.25" customHeight="1">
      <c r="A518" s="9"/>
    </row>
    <row r="519" spans="1:1" ht="14.25" customHeight="1">
      <c r="A519" s="9"/>
    </row>
    <row r="520" spans="1:1" ht="14.25" customHeight="1">
      <c r="A520" s="9"/>
    </row>
    <row r="521" spans="1:1" ht="14.25" customHeight="1">
      <c r="A521" s="9"/>
    </row>
    <row r="522" spans="1:1" ht="14.25" customHeight="1">
      <c r="A522" s="9"/>
    </row>
    <row r="523" spans="1:1" ht="14.25" customHeight="1">
      <c r="A523" s="9"/>
    </row>
    <row r="524" spans="1:1" ht="14.25" customHeight="1">
      <c r="A524" s="9"/>
    </row>
    <row r="525" spans="1:1" ht="14.25" customHeight="1">
      <c r="A525" s="9"/>
    </row>
    <row r="526" spans="1:1" ht="14.25" customHeight="1">
      <c r="A526" s="9"/>
    </row>
    <row r="527" spans="1:1" ht="14.25" customHeight="1">
      <c r="A527" s="9"/>
    </row>
    <row r="528" spans="1:1" ht="14.25" customHeight="1">
      <c r="A528" s="9"/>
    </row>
    <row r="529" spans="1:1" ht="14.25" customHeight="1">
      <c r="A529" s="9"/>
    </row>
    <row r="530" spans="1:1" ht="14.25" customHeight="1">
      <c r="A530" s="9"/>
    </row>
    <row r="531" spans="1:1" ht="14.25" customHeight="1">
      <c r="A531" s="9"/>
    </row>
    <row r="532" spans="1:1" ht="14.25" customHeight="1">
      <c r="A532" s="9"/>
    </row>
    <row r="533" spans="1:1" ht="14.25" customHeight="1">
      <c r="A533" s="9"/>
    </row>
    <row r="534" spans="1:1" ht="14.25" customHeight="1">
      <c r="A534" s="9"/>
    </row>
    <row r="535" spans="1:1" ht="14.25" customHeight="1">
      <c r="A535" s="9"/>
    </row>
    <row r="536" spans="1:1" ht="14.25" customHeight="1">
      <c r="A536" s="9"/>
    </row>
    <row r="537" spans="1:1" ht="14.25" customHeight="1">
      <c r="A537" s="9"/>
    </row>
    <row r="538" spans="1:1" ht="14.25" customHeight="1">
      <c r="A538" s="9"/>
    </row>
    <row r="539" spans="1:1" ht="14.25" customHeight="1">
      <c r="A539" s="9"/>
    </row>
    <row r="540" spans="1:1" ht="14.25" customHeight="1">
      <c r="A540" s="9"/>
    </row>
    <row r="541" spans="1:1" ht="14.25" customHeight="1">
      <c r="A541" s="9"/>
    </row>
    <row r="542" spans="1:1" ht="14.25" customHeight="1">
      <c r="A542" s="9"/>
    </row>
    <row r="543" spans="1:1" ht="14.25" customHeight="1">
      <c r="A543" s="9"/>
    </row>
    <row r="544" spans="1:1" ht="14.25" customHeight="1">
      <c r="A544" s="9"/>
    </row>
    <row r="545" spans="1:1" ht="14.25" customHeight="1">
      <c r="A545" s="9"/>
    </row>
    <row r="546" spans="1:1" ht="14.25" customHeight="1">
      <c r="A546" s="9"/>
    </row>
    <row r="547" spans="1:1" ht="14.25" customHeight="1">
      <c r="A547" s="9"/>
    </row>
    <row r="548" spans="1:1" ht="14.25" customHeight="1">
      <c r="A548" s="9"/>
    </row>
    <row r="549" spans="1:1" ht="14.25" customHeight="1">
      <c r="A549" s="9"/>
    </row>
    <row r="550" spans="1:1" ht="14.25" customHeight="1">
      <c r="A550" s="9"/>
    </row>
    <row r="551" spans="1:1" ht="14.25" customHeight="1">
      <c r="A551" s="9"/>
    </row>
    <row r="552" spans="1:1" ht="14.25" customHeight="1">
      <c r="A552" s="9"/>
    </row>
    <row r="553" spans="1:1" ht="14.25" customHeight="1">
      <c r="A553" s="9"/>
    </row>
    <row r="554" spans="1:1" ht="14.25" customHeight="1">
      <c r="A554" s="9"/>
    </row>
    <row r="555" spans="1:1" ht="14.25" customHeight="1">
      <c r="A555" s="9"/>
    </row>
    <row r="556" spans="1:1" ht="14.25" customHeight="1">
      <c r="A556" s="9"/>
    </row>
    <row r="557" spans="1:1" ht="14.25" customHeight="1">
      <c r="A557" s="9"/>
    </row>
    <row r="558" spans="1:1" ht="14.25" customHeight="1">
      <c r="A558" s="9"/>
    </row>
    <row r="559" spans="1:1" ht="14.25" customHeight="1">
      <c r="A559" s="9"/>
    </row>
    <row r="560" spans="1:1" ht="14.25" customHeight="1">
      <c r="A560" s="9"/>
    </row>
    <row r="561" spans="1:1" ht="14.25" customHeight="1">
      <c r="A561" s="9"/>
    </row>
    <row r="562" spans="1:1" ht="14.25" customHeight="1">
      <c r="A562" s="9"/>
    </row>
    <row r="563" spans="1:1" ht="14.25" customHeight="1">
      <c r="A563" s="9"/>
    </row>
    <row r="564" spans="1:1" ht="14.25" customHeight="1">
      <c r="A564" s="9"/>
    </row>
    <row r="565" spans="1:1" ht="14.25" customHeight="1">
      <c r="A565" s="9"/>
    </row>
    <row r="566" spans="1:1" ht="14.25" customHeight="1">
      <c r="A566" s="9"/>
    </row>
    <row r="567" spans="1:1" ht="14.25" customHeight="1">
      <c r="A567" s="9"/>
    </row>
    <row r="568" spans="1:1" ht="14.25" customHeight="1">
      <c r="A568" s="9"/>
    </row>
    <row r="569" spans="1:1" ht="14.25" customHeight="1">
      <c r="A569" s="9"/>
    </row>
    <row r="570" spans="1:1" ht="14.25" customHeight="1">
      <c r="A570" s="9"/>
    </row>
    <row r="571" spans="1:1" ht="14.25" customHeight="1">
      <c r="A571" s="9"/>
    </row>
    <row r="572" spans="1:1" ht="14.25" customHeight="1">
      <c r="A572" s="9"/>
    </row>
    <row r="573" spans="1:1" ht="14.25" customHeight="1">
      <c r="A573" s="9"/>
    </row>
    <row r="574" spans="1:1" ht="14.25" customHeight="1">
      <c r="A574" s="9"/>
    </row>
    <row r="575" spans="1:1" ht="14.25" customHeight="1">
      <c r="A575" s="9"/>
    </row>
    <row r="576" spans="1:1" ht="14.25" customHeight="1">
      <c r="A576" s="9"/>
    </row>
    <row r="577" spans="1:1" ht="14.25" customHeight="1">
      <c r="A577" s="9"/>
    </row>
    <row r="578" spans="1:1" ht="14.25" customHeight="1">
      <c r="A578" s="9"/>
    </row>
    <row r="579" spans="1:1" ht="14.25" customHeight="1">
      <c r="A579" s="9"/>
    </row>
    <row r="580" spans="1:1" ht="14.25" customHeight="1">
      <c r="A580" s="9"/>
    </row>
    <row r="581" spans="1:1" ht="14.25" customHeight="1">
      <c r="A581" s="9"/>
    </row>
    <row r="582" spans="1:1" ht="14.25" customHeight="1">
      <c r="A582" s="9"/>
    </row>
    <row r="583" spans="1:1" ht="14.25" customHeight="1">
      <c r="A583" s="9"/>
    </row>
    <row r="584" spans="1:1" ht="14.25" customHeight="1">
      <c r="A584" s="9"/>
    </row>
    <row r="585" spans="1:1" ht="14.25" customHeight="1">
      <c r="A585" s="9"/>
    </row>
    <row r="586" spans="1:1" ht="14.25" customHeight="1">
      <c r="A586" s="9"/>
    </row>
    <row r="587" spans="1:1" ht="14.25" customHeight="1">
      <c r="A587" s="9"/>
    </row>
    <row r="588" spans="1:1" ht="14.25" customHeight="1">
      <c r="A588" s="9"/>
    </row>
    <row r="589" spans="1:1" ht="14.25" customHeight="1">
      <c r="A589" s="9"/>
    </row>
    <row r="590" spans="1:1" ht="14.25" customHeight="1">
      <c r="A590" s="9"/>
    </row>
    <row r="591" spans="1:1" ht="14.25" customHeight="1">
      <c r="A591" s="9"/>
    </row>
    <row r="592" spans="1:1" ht="14.25" customHeight="1">
      <c r="A592" s="9"/>
    </row>
    <row r="593" spans="1:1" ht="14.25" customHeight="1">
      <c r="A593" s="9"/>
    </row>
    <row r="594" spans="1:1" ht="14.25" customHeight="1">
      <c r="A594" s="9"/>
    </row>
    <row r="595" spans="1:1" ht="14.25" customHeight="1">
      <c r="A595" s="9"/>
    </row>
    <row r="596" spans="1:1" ht="14.25" customHeight="1">
      <c r="A596" s="9"/>
    </row>
    <row r="597" spans="1:1" ht="14.25" customHeight="1">
      <c r="A597" s="9"/>
    </row>
    <row r="598" spans="1:1" ht="14.25" customHeight="1">
      <c r="A598" s="9"/>
    </row>
    <row r="599" spans="1:1" ht="14.25" customHeight="1">
      <c r="A599" s="9"/>
    </row>
    <row r="600" spans="1:1" ht="14.25" customHeight="1">
      <c r="A600" s="9"/>
    </row>
    <row r="601" spans="1:1" ht="14.25" customHeight="1">
      <c r="A601" s="9"/>
    </row>
    <row r="602" spans="1:1" ht="14.25" customHeight="1">
      <c r="A602" s="9"/>
    </row>
    <row r="603" spans="1:1" ht="14.25" customHeight="1">
      <c r="A603" s="9"/>
    </row>
    <row r="604" spans="1:1" ht="14.25" customHeight="1">
      <c r="A604" s="9"/>
    </row>
    <row r="605" spans="1:1" ht="14.25" customHeight="1">
      <c r="A605" s="9"/>
    </row>
    <row r="606" spans="1:1" ht="14.25" customHeight="1">
      <c r="A606" s="9"/>
    </row>
    <row r="607" spans="1:1" ht="14.25" customHeight="1">
      <c r="A607" s="9"/>
    </row>
    <row r="608" spans="1:1" ht="14.25" customHeight="1">
      <c r="A608" s="9"/>
    </row>
    <row r="609" spans="1:1" ht="14.25" customHeight="1">
      <c r="A609" s="9"/>
    </row>
    <row r="610" spans="1:1" ht="14.25" customHeight="1">
      <c r="A610" s="9"/>
    </row>
    <row r="611" spans="1:1" ht="14.25" customHeight="1">
      <c r="A611" s="9"/>
    </row>
    <row r="612" spans="1:1" ht="14.25" customHeight="1">
      <c r="A612" s="9"/>
    </row>
    <row r="613" spans="1:1" ht="14.25" customHeight="1">
      <c r="A613" s="9"/>
    </row>
    <row r="614" spans="1:1" ht="14.25" customHeight="1">
      <c r="A614" s="9"/>
    </row>
    <row r="615" spans="1:1" ht="14.25" customHeight="1">
      <c r="A615" s="9"/>
    </row>
    <row r="616" spans="1:1" ht="14.25" customHeight="1">
      <c r="A616" s="9"/>
    </row>
    <row r="617" spans="1:1" ht="14.25" customHeight="1">
      <c r="A617" s="9"/>
    </row>
    <row r="618" spans="1:1" ht="14.25" customHeight="1">
      <c r="A618" s="9"/>
    </row>
    <row r="619" spans="1:1" ht="14.25" customHeight="1">
      <c r="A619" s="9"/>
    </row>
    <row r="620" spans="1:1" ht="14.25" customHeight="1">
      <c r="A620" s="9"/>
    </row>
    <row r="621" spans="1:1" ht="14.25" customHeight="1">
      <c r="A621" s="9"/>
    </row>
    <row r="622" spans="1:1" ht="14.25" customHeight="1">
      <c r="A622" s="9"/>
    </row>
    <row r="623" spans="1:1" ht="14.25" customHeight="1">
      <c r="A623" s="9"/>
    </row>
    <row r="624" spans="1:1" ht="14.25" customHeight="1">
      <c r="A624" s="9"/>
    </row>
    <row r="625" spans="1:1" ht="14.25" customHeight="1">
      <c r="A625" s="9"/>
    </row>
    <row r="626" spans="1:1" ht="14.25" customHeight="1">
      <c r="A626" s="9"/>
    </row>
    <row r="627" spans="1:1" ht="14.25" customHeight="1">
      <c r="A627" s="9"/>
    </row>
    <row r="628" spans="1:1" ht="14.25" customHeight="1">
      <c r="A628" s="9"/>
    </row>
    <row r="629" spans="1:1" ht="14.25" customHeight="1">
      <c r="A629" s="9"/>
    </row>
    <row r="630" spans="1:1" ht="14.25" customHeight="1">
      <c r="A630" s="9"/>
    </row>
    <row r="631" spans="1:1" ht="14.25" customHeight="1">
      <c r="A631" s="9"/>
    </row>
    <row r="632" spans="1:1" ht="14.25" customHeight="1">
      <c r="A632" s="9"/>
    </row>
    <row r="633" spans="1:1" ht="14.25" customHeight="1">
      <c r="A633" s="9"/>
    </row>
    <row r="634" spans="1:1" ht="14.25" customHeight="1">
      <c r="A634" s="9"/>
    </row>
    <row r="635" spans="1:1" ht="14.25" customHeight="1">
      <c r="A635" s="9"/>
    </row>
    <row r="636" spans="1:1" ht="14.25" customHeight="1">
      <c r="A636" s="9"/>
    </row>
    <row r="637" spans="1:1" ht="14.25" customHeight="1">
      <c r="A637" s="9"/>
    </row>
    <row r="638" spans="1:1" ht="14.25" customHeight="1">
      <c r="A638" s="9"/>
    </row>
    <row r="639" spans="1:1" ht="14.25" customHeight="1">
      <c r="A639" s="9"/>
    </row>
    <row r="640" spans="1:1" ht="14.25" customHeight="1">
      <c r="A640" s="9"/>
    </row>
    <row r="641" spans="1:1" ht="14.25" customHeight="1">
      <c r="A641" s="9"/>
    </row>
    <row r="642" spans="1:1" ht="14.25" customHeight="1">
      <c r="A642" s="9"/>
    </row>
    <row r="643" spans="1:1" ht="14.25" customHeight="1">
      <c r="A643" s="9"/>
    </row>
    <row r="644" spans="1:1" ht="14.25" customHeight="1">
      <c r="A644" s="9"/>
    </row>
    <row r="645" spans="1:1" ht="14.25" customHeight="1">
      <c r="A645" s="9"/>
    </row>
    <row r="646" spans="1:1" ht="14.25" customHeight="1">
      <c r="A646" s="9"/>
    </row>
    <row r="647" spans="1:1" ht="14.25" customHeight="1">
      <c r="A647" s="9"/>
    </row>
    <row r="648" spans="1:1" ht="14.25" customHeight="1">
      <c r="A648" s="9"/>
    </row>
    <row r="649" spans="1:1" ht="14.25" customHeight="1">
      <c r="A649" s="9"/>
    </row>
    <row r="650" spans="1:1" ht="14.25" customHeight="1">
      <c r="A650" s="9"/>
    </row>
    <row r="651" spans="1:1" ht="14.25" customHeight="1">
      <c r="A651" s="9"/>
    </row>
    <row r="652" spans="1:1" ht="14.25" customHeight="1">
      <c r="A652" s="9"/>
    </row>
    <row r="653" spans="1:1" ht="14.25" customHeight="1">
      <c r="A653" s="9"/>
    </row>
    <row r="654" spans="1:1" ht="14.25" customHeight="1">
      <c r="A654" s="9"/>
    </row>
    <row r="655" spans="1:1" ht="14.25" customHeight="1">
      <c r="A655" s="9"/>
    </row>
    <row r="656" spans="1:1" ht="14.25" customHeight="1">
      <c r="A656" s="9"/>
    </row>
    <row r="657" spans="1:1" ht="14.25" customHeight="1">
      <c r="A657" s="9"/>
    </row>
    <row r="658" spans="1:1" ht="14.25" customHeight="1">
      <c r="A658" s="9"/>
    </row>
    <row r="659" spans="1:1" ht="14.25" customHeight="1">
      <c r="A659" s="9"/>
    </row>
    <row r="660" spans="1:1" ht="14.25" customHeight="1">
      <c r="A660" s="9"/>
    </row>
    <row r="661" spans="1:1" ht="14.25" customHeight="1">
      <c r="A661" s="9"/>
    </row>
    <row r="662" spans="1:1" ht="14.25" customHeight="1">
      <c r="A662" s="9"/>
    </row>
    <row r="663" spans="1:1" ht="14.25" customHeight="1">
      <c r="A663" s="9"/>
    </row>
    <row r="664" spans="1:1" ht="14.25" customHeight="1">
      <c r="A664" s="9"/>
    </row>
    <row r="665" spans="1:1" ht="14.25" customHeight="1">
      <c r="A665" s="9"/>
    </row>
    <row r="666" spans="1:1" ht="14.25" customHeight="1">
      <c r="A666" s="9"/>
    </row>
    <row r="667" spans="1:1" ht="14.25" customHeight="1">
      <c r="A667" s="9"/>
    </row>
    <row r="668" spans="1:1" ht="14.25" customHeight="1">
      <c r="A668" s="9"/>
    </row>
    <row r="669" spans="1:1" ht="14.25" customHeight="1">
      <c r="A669" s="9"/>
    </row>
    <row r="670" spans="1:1" ht="14.25" customHeight="1">
      <c r="A670" s="9"/>
    </row>
    <row r="671" spans="1:1" ht="14.25" customHeight="1">
      <c r="A671" s="9"/>
    </row>
    <row r="672" spans="1:1" ht="14.25" customHeight="1">
      <c r="A672" s="9"/>
    </row>
    <row r="673" spans="1:1" ht="14.25" customHeight="1">
      <c r="A673" s="9"/>
    </row>
    <row r="674" spans="1:1" ht="14.25" customHeight="1">
      <c r="A674" s="9"/>
    </row>
    <row r="675" spans="1:1" ht="14.25" customHeight="1">
      <c r="A675" s="9"/>
    </row>
    <row r="676" spans="1:1" ht="14.25" customHeight="1">
      <c r="A676" s="9"/>
    </row>
    <row r="677" spans="1:1" ht="14.25" customHeight="1">
      <c r="A677" s="9"/>
    </row>
    <row r="678" spans="1:1" ht="14.25" customHeight="1">
      <c r="A678" s="9"/>
    </row>
    <row r="679" spans="1:1" ht="14.25" customHeight="1">
      <c r="A679" s="9"/>
    </row>
    <row r="680" spans="1:1" ht="14.25" customHeight="1">
      <c r="A680" s="9"/>
    </row>
    <row r="681" spans="1:1" ht="14.25" customHeight="1">
      <c r="A681" s="9"/>
    </row>
    <row r="682" spans="1:1" ht="14.25" customHeight="1">
      <c r="A682" s="9"/>
    </row>
    <row r="683" spans="1:1" ht="14.25" customHeight="1">
      <c r="A683" s="9"/>
    </row>
    <row r="684" spans="1:1" ht="14.25" customHeight="1">
      <c r="A684" s="9"/>
    </row>
    <row r="685" spans="1:1" ht="14.25" customHeight="1">
      <c r="A685" s="9"/>
    </row>
    <row r="686" spans="1:1" ht="14.25" customHeight="1">
      <c r="A686" s="9"/>
    </row>
    <row r="687" spans="1:1" ht="14.25" customHeight="1">
      <c r="A687" s="9"/>
    </row>
    <row r="688" spans="1:1" ht="14.25" customHeight="1">
      <c r="A688" s="9"/>
    </row>
    <row r="689" spans="1:1" ht="14.25" customHeight="1">
      <c r="A689" s="9"/>
    </row>
    <row r="690" spans="1:1" ht="14.25" customHeight="1">
      <c r="A690" s="9"/>
    </row>
    <row r="691" spans="1:1" ht="14.25" customHeight="1">
      <c r="A691" s="9"/>
    </row>
    <row r="692" spans="1:1" ht="14.25" customHeight="1">
      <c r="A692" s="9"/>
    </row>
    <row r="693" spans="1:1" ht="14.25" customHeight="1">
      <c r="A693" s="9"/>
    </row>
    <row r="694" spans="1:1" ht="14.25" customHeight="1">
      <c r="A694" s="9"/>
    </row>
    <row r="695" spans="1:1" ht="14.25" customHeight="1">
      <c r="A695" s="9"/>
    </row>
    <row r="696" spans="1:1" ht="14.25" customHeight="1">
      <c r="A696" s="9"/>
    </row>
    <row r="697" spans="1:1" ht="14.25" customHeight="1">
      <c r="A697" s="9"/>
    </row>
    <row r="698" spans="1:1" ht="14.25" customHeight="1">
      <c r="A698" s="9"/>
    </row>
    <row r="699" spans="1:1" ht="14.25" customHeight="1">
      <c r="A699" s="9"/>
    </row>
    <row r="700" spans="1:1" ht="14.25" customHeight="1">
      <c r="A700" s="9"/>
    </row>
    <row r="701" spans="1:1" ht="14.25" customHeight="1">
      <c r="A701" s="9"/>
    </row>
    <row r="702" spans="1:1" ht="14.25" customHeight="1">
      <c r="A702" s="9"/>
    </row>
    <row r="703" spans="1:1" ht="14.25" customHeight="1">
      <c r="A703" s="9"/>
    </row>
    <row r="704" spans="1:1" ht="14.25" customHeight="1">
      <c r="A704" s="9"/>
    </row>
    <row r="705" spans="1:1" ht="14.25" customHeight="1">
      <c r="A705" s="9"/>
    </row>
    <row r="706" spans="1:1" ht="14.25" customHeight="1">
      <c r="A706" s="9"/>
    </row>
    <row r="707" spans="1:1" ht="14.25" customHeight="1">
      <c r="A707" s="9"/>
    </row>
    <row r="708" spans="1:1" ht="14.25" customHeight="1">
      <c r="A708" s="9"/>
    </row>
    <row r="709" spans="1:1" ht="14.25" customHeight="1">
      <c r="A709" s="9"/>
    </row>
    <row r="710" spans="1:1" ht="14.25" customHeight="1">
      <c r="A710" s="9"/>
    </row>
    <row r="711" spans="1:1" ht="14.25" customHeight="1">
      <c r="A711" s="9"/>
    </row>
    <row r="712" spans="1:1" ht="14.25" customHeight="1">
      <c r="A712" s="9"/>
    </row>
    <row r="713" spans="1:1" ht="14.25" customHeight="1">
      <c r="A713" s="9"/>
    </row>
    <row r="714" spans="1:1" ht="14.25" customHeight="1">
      <c r="A714" s="9"/>
    </row>
    <row r="715" spans="1:1" ht="14.25" customHeight="1">
      <c r="A715" s="9"/>
    </row>
    <row r="716" spans="1:1" ht="14.25" customHeight="1">
      <c r="A716" s="9"/>
    </row>
    <row r="717" spans="1:1" ht="14.25" customHeight="1">
      <c r="A717" s="9"/>
    </row>
    <row r="718" spans="1:1" ht="14.25" customHeight="1">
      <c r="A718" s="9"/>
    </row>
    <row r="719" spans="1:1" ht="14.25" customHeight="1">
      <c r="A719" s="9"/>
    </row>
    <row r="720" spans="1:1" ht="14.25" customHeight="1">
      <c r="A720" s="9"/>
    </row>
    <row r="721" spans="1:1" ht="14.25" customHeight="1">
      <c r="A721" s="9"/>
    </row>
    <row r="722" spans="1:1" ht="14.25" customHeight="1">
      <c r="A722" s="9"/>
    </row>
    <row r="723" spans="1:1" ht="14.25" customHeight="1">
      <c r="A723" s="9"/>
    </row>
    <row r="724" spans="1:1" ht="14.25" customHeight="1">
      <c r="A724" s="9"/>
    </row>
    <row r="725" spans="1:1" ht="14.25" customHeight="1">
      <c r="A725" s="9"/>
    </row>
    <row r="726" spans="1:1" ht="14.25" customHeight="1">
      <c r="A726" s="9"/>
    </row>
    <row r="727" spans="1:1" ht="14.25" customHeight="1">
      <c r="A727" s="9"/>
    </row>
    <row r="728" spans="1:1" ht="14.25" customHeight="1">
      <c r="A728" s="9"/>
    </row>
    <row r="729" spans="1:1" ht="14.25" customHeight="1">
      <c r="A729" s="9"/>
    </row>
    <row r="730" spans="1:1" ht="14.25" customHeight="1">
      <c r="A730" s="9"/>
    </row>
    <row r="731" spans="1:1" ht="14.25" customHeight="1">
      <c r="A731" s="9"/>
    </row>
    <row r="732" spans="1:1" ht="14.25" customHeight="1">
      <c r="A732" s="9"/>
    </row>
    <row r="733" spans="1:1" ht="14.25" customHeight="1">
      <c r="A733" s="9"/>
    </row>
    <row r="734" spans="1:1" ht="14.25" customHeight="1">
      <c r="A734" s="9"/>
    </row>
    <row r="735" spans="1:1" ht="14.25" customHeight="1">
      <c r="A735" s="9"/>
    </row>
    <row r="736" spans="1:1" ht="14.25" customHeight="1">
      <c r="A736" s="9"/>
    </row>
    <row r="737" spans="1:1" ht="14.25" customHeight="1">
      <c r="A737" s="9"/>
    </row>
    <row r="738" spans="1:1" ht="14.25" customHeight="1">
      <c r="A738" s="9"/>
    </row>
    <row r="739" spans="1:1" ht="14.25" customHeight="1">
      <c r="A739" s="9"/>
    </row>
    <row r="740" spans="1:1" ht="14.25" customHeight="1">
      <c r="A740" s="9"/>
    </row>
    <row r="741" spans="1:1" ht="14.25" customHeight="1">
      <c r="A741" s="9"/>
    </row>
    <row r="742" spans="1:1" ht="14.25" customHeight="1">
      <c r="A742" s="9"/>
    </row>
    <row r="743" spans="1:1" ht="14.25" customHeight="1">
      <c r="A743" s="9"/>
    </row>
    <row r="744" spans="1:1" ht="14.25" customHeight="1">
      <c r="A744" s="9"/>
    </row>
    <row r="745" spans="1:1" ht="14.25" customHeight="1">
      <c r="A745" s="9"/>
    </row>
    <row r="746" spans="1:1" ht="14.25" customHeight="1">
      <c r="A746" s="9"/>
    </row>
    <row r="747" spans="1:1" ht="14.25" customHeight="1">
      <c r="A747" s="9"/>
    </row>
    <row r="748" spans="1:1" ht="14.25" customHeight="1">
      <c r="A748" s="9"/>
    </row>
    <row r="749" spans="1:1" ht="14.25" customHeight="1">
      <c r="A749" s="9"/>
    </row>
    <row r="750" spans="1:1" ht="14.25" customHeight="1">
      <c r="A750" s="9"/>
    </row>
    <row r="751" spans="1:1" ht="14.25" customHeight="1">
      <c r="A751" s="9"/>
    </row>
    <row r="752" spans="1:1" ht="14.25" customHeight="1">
      <c r="A752" s="9"/>
    </row>
    <row r="753" spans="1:1" ht="14.25" customHeight="1">
      <c r="A753" s="9"/>
    </row>
    <row r="754" spans="1:1" ht="14.25" customHeight="1">
      <c r="A754" s="9"/>
    </row>
    <row r="755" spans="1:1" ht="14.25" customHeight="1">
      <c r="A755" s="9"/>
    </row>
    <row r="756" spans="1:1" ht="14.25" customHeight="1">
      <c r="A756" s="9"/>
    </row>
    <row r="757" spans="1:1" ht="14.25" customHeight="1">
      <c r="A757" s="9"/>
    </row>
    <row r="758" spans="1:1" ht="14.25" customHeight="1">
      <c r="A758" s="9"/>
    </row>
    <row r="759" spans="1:1" ht="14.25" customHeight="1">
      <c r="A759" s="9"/>
    </row>
    <row r="760" spans="1:1" ht="14.25" customHeight="1">
      <c r="A760" s="9"/>
    </row>
    <row r="761" spans="1:1" ht="14.25" customHeight="1">
      <c r="A761" s="9"/>
    </row>
    <row r="762" spans="1:1" ht="14.25" customHeight="1">
      <c r="A762" s="9"/>
    </row>
    <row r="763" spans="1:1" ht="14.25" customHeight="1">
      <c r="A763" s="9"/>
    </row>
    <row r="764" spans="1:1" ht="14.25" customHeight="1">
      <c r="A764" s="9"/>
    </row>
    <row r="765" spans="1:1" ht="14.25" customHeight="1">
      <c r="A765" s="9"/>
    </row>
    <row r="766" spans="1:1" ht="14.25" customHeight="1">
      <c r="A766" s="9"/>
    </row>
    <row r="767" spans="1:1" ht="14.25" customHeight="1">
      <c r="A767" s="9"/>
    </row>
    <row r="768" spans="1:1" ht="14.25" customHeight="1">
      <c r="A768" s="9"/>
    </row>
    <row r="769" spans="1:1" ht="14.25" customHeight="1">
      <c r="A769" s="9"/>
    </row>
    <row r="770" spans="1:1" ht="14.25" customHeight="1">
      <c r="A770" s="9"/>
    </row>
    <row r="771" spans="1:1" ht="14.25" customHeight="1">
      <c r="A771" s="9"/>
    </row>
    <row r="772" spans="1:1" ht="14.25" customHeight="1">
      <c r="A772" s="9"/>
    </row>
    <row r="773" spans="1:1" ht="14.25" customHeight="1">
      <c r="A773" s="9"/>
    </row>
    <row r="774" spans="1:1" ht="14.25" customHeight="1">
      <c r="A774" s="9"/>
    </row>
    <row r="775" spans="1:1" ht="14.25" customHeight="1">
      <c r="A775" s="9"/>
    </row>
    <row r="776" spans="1:1" ht="14.25" customHeight="1">
      <c r="A776" s="9"/>
    </row>
    <row r="777" spans="1:1" ht="14.25" customHeight="1">
      <c r="A777" s="9"/>
    </row>
    <row r="778" spans="1:1" ht="14.25" customHeight="1">
      <c r="A778" s="9"/>
    </row>
    <row r="779" spans="1:1" ht="14.25" customHeight="1">
      <c r="A779" s="9"/>
    </row>
    <row r="780" spans="1:1" ht="14.25" customHeight="1">
      <c r="A780" s="9"/>
    </row>
    <row r="781" spans="1:1" ht="14.25" customHeight="1">
      <c r="A781" s="9"/>
    </row>
    <row r="782" spans="1:1" ht="14.25" customHeight="1">
      <c r="A782" s="9"/>
    </row>
    <row r="783" spans="1:1" ht="14.25" customHeight="1">
      <c r="A783" s="9"/>
    </row>
    <row r="784" spans="1:1" ht="14.25" customHeight="1">
      <c r="A784" s="9"/>
    </row>
    <row r="785" spans="1:1" ht="14.25" customHeight="1">
      <c r="A785" s="9"/>
    </row>
    <row r="786" spans="1:1" ht="14.25" customHeight="1">
      <c r="A786" s="9"/>
    </row>
    <row r="787" spans="1:1" ht="14.25" customHeight="1">
      <c r="A787" s="9"/>
    </row>
    <row r="788" spans="1:1" ht="14.25" customHeight="1">
      <c r="A788" s="9"/>
    </row>
    <row r="789" spans="1:1" ht="14.25" customHeight="1">
      <c r="A789" s="9"/>
    </row>
    <row r="790" spans="1:1" ht="14.25" customHeight="1">
      <c r="A790" s="9"/>
    </row>
    <row r="791" spans="1:1" ht="14.25" customHeight="1">
      <c r="A791" s="9"/>
    </row>
    <row r="792" spans="1:1" ht="14.25" customHeight="1">
      <c r="A792" s="9"/>
    </row>
    <row r="793" spans="1:1" ht="14.25" customHeight="1">
      <c r="A793" s="9"/>
    </row>
    <row r="794" spans="1:1" ht="14.25" customHeight="1">
      <c r="A794" s="9"/>
    </row>
    <row r="795" spans="1:1" ht="14.25" customHeight="1">
      <c r="A795" s="9"/>
    </row>
    <row r="796" spans="1:1" ht="14.25" customHeight="1">
      <c r="A796" s="9"/>
    </row>
    <row r="797" spans="1:1" ht="14.25" customHeight="1">
      <c r="A797" s="9"/>
    </row>
    <row r="798" spans="1:1" ht="14.25" customHeight="1">
      <c r="A798" s="9"/>
    </row>
    <row r="799" spans="1:1" ht="14.25" customHeight="1">
      <c r="A799" s="9"/>
    </row>
    <row r="800" spans="1:1" ht="14.25" customHeight="1">
      <c r="A800" s="9"/>
    </row>
    <row r="801" spans="1:1" ht="14.25" customHeight="1">
      <c r="A801" s="9"/>
    </row>
    <row r="802" spans="1:1" ht="14.25" customHeight="1">
      <c r="A802" s="9"/>
    </row>
    <row r="803" spans="1:1" ht="14.25" customHeight="1">
      <c r="A803" s="9"/>
    </row>
    <row r="804" spans="1:1" ht="14.25" customHeight="1">
      <c r="A804" s="9"/>
    </row>
    <row r="805" spans="1:1" ht="14.25" customHeight="1">
      <c r="A805" s="9"/>
    </row>
    <row r="806" spans="1:1" ht="14.25" customHeight="1">
      <c r="A806" s="9"/>
    </row>
    <row r="807" spans="1:1" ht="14.25" customHeight="1">
      <c r="A807" s="9"/>
    </row>
    <row r="808" spans="1:1" ht="14.25" customHeight="1">
      <c r="A808" s="9"/>
    </row>
    <row r="809" spans="1:1" ht="14.25" customHeight="1">
      <c r="A809" s="9"/>
    </row>
    <row r="810" spans="1:1" ht="14.25" customHeight="1">
      <c r="A810" s="9"/>
    </row>
    <row r="811" spans="1:1" ht="14.25" customHeight="1">
      <c r="A811" s="9"/>
    </row>
    <row r="812" spans="1:1" ht="14.25" customHeight="1">
      <c r="A812" s="9"/>
    </row>
    <row r="813" spans="1:1" ht="14.25" customHeight="1">
      <c r="A813" s="9"/>
    </row>
    <row r="814" spans="1:1" ht="14.25" customHeight="1">
      <c r="A814" s="9"/>
    </row>
    <row r="815" spans="1:1" ht="14.25" customHeight="1">
      <c r="A815" s="9"/>
    </row>
    <row r="816" spans="1:1" ht="14.25" customHeight="1">
      <c r="A816" s="9"/>
    </row>
    <row r="817" spans="1:1" ht="14.25" customHeight="1">
      <c r="A817" s="9"/>
    </row>
    <row r="818" spans="1:1" ht="14.25" customHeight="1">
      <c r="A818" s="9"/>
    </row>
    <row r="819" spans="1:1" ht="14.25" customHeight="1">
      <c r="A819" s="9"/>
    </row>
    <row r="820" spans="1:1" ht="14.25" customHeight="1">
      <c r="A820" s="9"/>
    </row>
    <row r="821" spans="1:1" ht="14.25" customHeight="1">
      <c r="A821" s="9"/>
    </row>
    <row r="822" spans="1:1" ht="14.25" customHeight="1">
      <c r="A822" s="9"/>
    </row>
    <row r="823" spans="1:1" ht="14.25" customHeight="1">
      <c r="A823" s="9"/>
    </row>
    <row r="824" spans="1:1" ht="14.25" customHeight="1">
      <c r="A824" s="9"/>
    </row>
    <row r="825" spans="1:1" ht="14.25" customHeight="1">
      <c r="A825" s="9"/>
    </row>
    <row r="826" spans="1:1" ht="14.25" customHeight="1">
      <c r="A826" s="9"/>
    </row>
    <row r="827" spans="1:1" ht="14.25" customHeight="1">
      <c r="A827" s="9"/>
    </row>
    <row r="828" spans="1:1" ht="14.25" customHeight="1">
      <c r="A828" s="9"/>
    </row>
    <row r="829" spans="1:1" ht="14.25" customHeight="1">
      <c r="A829" s="9"/>
    </row>
    <row r="830" spans="1:1" ht="14.25" customHeight="1">
      <c r="A830" s="9"/>
    </row>
    <row r="831" spans="1:1" ht="14.25" customHeight="1">
      <c r="A831" s="9"/>
    </row>
    <row r="832" spans="1:1" ht="14.25" customHeight="1">
      <c r="A832" s="9"/>
    </row>
    <row r="833" spans="1:1" ht="14.25" customHeight="1">
      <c r="A833" s="9"/>
    </row>
    <row r="834" spans="1:1" ht="14.25" customHeight="1">
      <c r="A834" s="9"/>
    </row>
    <row r="835" spans="1:1" ht="14.25" customHeight="1">
      <c r="A835" s="9"/>
    </row>
    <row r="836" spans="1:1" ht="14.25" customHeight="1">
      <c r="A836" s="9"/>
    </row>
    <row r="837" spans="1:1" ht="14.25" customHeight="1">
      <c r="A837" s="9"/>
    </row>
    <row r="838" spans="1:1" ht="14.25" customHeight="1">
      <c r="A838" s="9"/>
    </row>
    <row r="839" spans="1:1" ht="14.25" customHeight="1">
      <c r="A839" s="9"/>
    </row>
    <row r="840" spans="1:1" ht="14.25" customHeight="1">
      <c r="A840" s="9"/>
    </row>
    <row r="841" spans="1:1" ht="14.25" customHeight="1">
      <c r="A841" s="9"/>
    </row>
    <row r="842" spans="1:1" ht="14.25" customHeight="1">
      <c r="A842" s="9"/>
    </row>
    <row r="843" spans="1:1" ht="14.25" customHeight="1">
      <c r="A843" s="9"/>
    </row>
    <row r="844" spans="1:1" ht="14.25" customHeight="1">
      <c r="A844" s="9"/>
    </row>
    <row r="845" spans="1:1" ht="14.25" customHeight="1">
      <c r="A845" s="9"/>
    </row>
    <row r="846" spans="1:1" ht="14.25" customHeight="1">
      <c r="A846" s="9"/>
    </row>
    <row r="847" spans="1:1" ht="14.25" customHeight="1">
      <c r="A847" s="9"/>
    </row>
    <row r="848" spans="1:1" ht="14.25" customHeight="1">
      <c r="A848" s="9"/>
    </row>
    <row r="849" spans="1:1" ht="14.25" customHeight="1">
      <c r="A849" s="9"/>
    </row>
    <row r="850" spans="1:1" ht="14.25" customHeight="1">
      <c r="A850" s="9"/>
    </row>
    <row r="851" spans="1:1" ht="14.25" customHeight="1">
      <c r="A851" s="9"/>
    </row>
    <row r="852" spans="1:1" ht="14.25" customHeight="1">
      <c r="A852" s="9"/>
    </row>
    <row r="853" spans="1:1" ht="14.25" customHeight="1">
      <c r="A853" s="9"/>
    </row>
    <row r="854" spans="1:1" ht="14.25" customHeight="1">
      <c r="A854" s="9"/>
    </row>
    <row r="855" spans="1:1" ht="14.25" customHeight="1">
      <c r="A855" s="9"/>
    </row>
    <row r="856" spans="1:1" ht="14.25" customHeight="1">
      <c r="A856" s="9"/>
    </row>
    <row r="857" spans="1:1" ht="14.25" customHeight="1">
      <c r="A857" s="9"/>
    </row>
    <row r="858" spans="1:1" ht="14.25" customHeight="1">
      <c r="A858" s="9"/>
    </row>
    <row r="859" spans="1:1" ht="14.25" customHeight="1">
      <c r="A859" s="9"/>
    </row>
    <row r="860" spans="1:1" ht="14.25" customHeight="1">
      <c r="A860" s="9"/>
    </row>
    <row r="861" spans="1:1" ht="14.25" customHeight="1">
      <c r="A861" s="9"/>
    </row>
    <row r="862" spans="1:1" ht="14.25" customHeight="1">
      <c r="A862" s="9"/>
    </row>
    <row r="863" spans="1:1" ht="14.25" customHeight="1">
      <c r="A863" s="9"/>
    </row>
    <row r="864" spans="1:1" ht="14.25" customHeight="1">
      <c r="A864" s="9"/>
    </row>
    <row r="865" spans="1:1" ht="14.25" customHeight="1">
      <c r="A865" s="9"/>
    </row>
    <row r="866" spans="1:1" ht="14.25" customHeight="1">
      <c r="A866" s="9"/>
    </row>
    <row r="867" spans="1:1" ht="14.25" customHeight="1">
      <c r="A867" s="9"/>
    </row>
    <row r="868" spans="1:1" ht="14.25" customHeight="1">
      <c r="A868" s="9"/>
    </row>
    <row r="869" spans="1:1" ht="14.25" customHeight="1">
      <c r="A869" s="9"/>
    </row>
    <row r="870" spans="1:1" ht="14.25" customHeight="1">
      <c r="A870" s="9"/>
    </row>
    <row r="871" spans="1:1" ht="14.25" customHeight="1">
      <c r="A871" s="9"/>
    </row>
    <row r="872" spans="1:1" ht="14.25" customHeight="1">
      <c r="A872" s="9"/>
    </row>
    <row r="873" spans="1:1" ht="14.25" customHeight="1">
      <c r="A873" s="9"/>
    </row>
    <row r="874" spans="1:1" ht="14.25" customHeight="1">
      <c r="A874" s="9"/>
    </row>
    <row r="875" spans="1:1" ht="14.25" customHeight="1">
      <c r="A875" s="9"/>
    </row>
    <row r="876" spans="1:1" ht="14.25" customHeight="1">
      <c r="A876" s="9"/>
    </row>
    <row r="877" spans="1:1" ht="14.25" customHeight="1">
      <c r="A877" s="9"/>
    </row>
    <row r="878" spans="1:1" ht="14.25" customHeight="1">
      <c r="A878" s="9"/>
    </row>
    <row r="879" spans="1:1" ht="14.25" customHeight="1">
      <c r="A879" s="9"/>
    </row>
    <row r="880" spans="1:1" ht="14.25" customHeight="1">
      <c r="A880" s="9"/>
    </row>
    <row r="881" spans="1:1" ht="14.25" customHeight="1">
      <c r="A881" s="9"/>
    </row>
    <row r="882" spans="1:1" ht="14.25" customHeight="1">
      <c r="A882" s="9"/>
    </row>
    <row r="883" spans="1:1" ht="14.25" customHeight="1">
      <c r="A883" s="9"/>
    </row>
    <row r="884" spans="1:1" ht="14.25" customHeight="1">
      <c r="A884" s="9"/>
    </row>
    <row r="885" spans="1:1" ht="14.25" customHeight="1">
      <c r="A885" s="9"/>
    </row>
    <row r="886" spans="1:1" ht="14.25" customHeight="1">
      <c r="A886" s="9"/>
    </row>
    <row r="887" spans="1:1" ht="14.25" customHeight="1">
      <c r="A887" s="9"/>
    </row>
    <row r="888" spans="1:1" ht="14.25" customHeight="1">
      <c r="A888" s="9"/>
    </row>
    <row r="889" spans="1:1" ht="14.25" customHeight="1">
      <c r="A889" s="9"/>
    </row>
    <row r="890" spans="1:1" ht="14.25" customHeight="1">
      <c r="A890" s="9"/>
    </row>
    <row r="891" spans="1:1" ht="14.25" customHeight="1">
      <c r="A891" s="9"/>
    </row>
    <row r="892" spans="1:1" ht="14.25" customHeight="1">
      <c r="A892" s="9"/>
    </row>
    <row r="893" spans="1:1" ht="14.25" customHeight="1">
      <c r="A893" s="9"/>
    </row>
    <row r="894" spans="1:1" ht="14.25" customHeight="1">
      <c r="A894" s="9"/>
    </row>
    <row r="895" spans="1:1" ht="14.25" customHeight="1">
      <c r="A895" s="9"/>
    </row>
    <row r="896" spans="1:1" ht="14.25" customHeight="1">
      <c r="A896" s="9"/>
    </row>
    <row r="897" spans="1:1" ht="14.25" customHeight="1">
      <c r="A897" s="9"/>
    </row>
    <row r="898" spans="1:1" ht="14.25" customHeight="1">
      <c r="A898" s="9"/>
    </row>
    <row r="899" spans="1:1" ht="14.25" customHeight="1">
      <c r="A899" s="9"/>
    </row>
    <row r="900" spans="1:1" ht="14.25" customHeight="1">
      <c r="A900" s="9"/>
    </row>
    <row r="901" spans="1:1" ht="14.25" customHeight="1">
      <c r="A901" s="9"/>
    </row>
    <row r="902" spans="1:1" ht="14.25" customHeight="1">
      <c r="A902" s="9"/>
    </row>
    <row r="903" spans="1:1" ht="14.25" customHeight="1">
      <c r="A903" s="9"/>
    </row>
    <row r="904" spans="1:1" ht="14.25" customHeight="1">
      <c r="A904" s="9"/>
    </row>
    <row r="905" spans="1:1" ht="14.25" customHeight="1">
      <c r="A905" s="9"/>
    </row>
    <row r="906" spans="1:1" ht="14.25" customHeight="1">
      <c r="A906" s="9"/>
    </row>
    <row r="907" spans="1:1" ht="14.25" customHeight="1">
      <c r="A907" s="9"/>
    </row>
    <row r="908" spans="1:1" ht="14.25" customHeight="1">
      <c r="A908" s="9"/>
    </row>
    <row r="909" spans="1:1" ht="14.25" customHeight="1">
      <c r="A909" s="9"/>
    </row>
    <row r="910" spans="1:1" ht="14.25" customHeight="1">
      <c r="A910" s="9"/>
    </row>
    <row r="911" spans="1:1" ht="14.25" customHeight="1">
      <c r="A911" s="9"/>
    </row>
    <row r="912" spans="1:1" ht="14.25" customHeight="1">
      <c r="A912" s="9"/>
    </row>
    <row r="913" spans="1:1" ht="14.25" customHeight="1">
      <c r="A913" s="9"/>
    </row>
    <row r="914" spans="1:1" ht="14.25" customHeight="1">
      <c r="A914" s="9"/>
    </row>
    <row r="915" spans="1:1" ht="14.25" customHeight="1">
      <c r="A915" s="9"/>
    </row>
    <row r="916" spans="1:1" ht="14.25" customHeight="1">
      <c r="A916" s="9"/>
    </row>
    <row r="917" spans="1:1" ht="14.25" customHeight="1">
      <c r="A917" s="9"/>
    </row>
    <row r="918" spans="1:1" ht="14.25" customHeight="1">
      <c r="A918" s="9"/>
    </row>
    <row r="919" spans="1:1" ht="14.25" customHeight="1">
      <c r="A919" s="9"/>
    </row>
    <row r="920" spans="1:1" ht="14.25" customHeight="1">
      <c r="A920" s="9"/>
    </row>
    <row r="921" spans="1:1" ht="14.25" customHeight="1">
      <c r="A921" s="9"/>
    </row>
    <row r="922" spans="1:1" ht="14.25" customHeight="1">
      <c r="A922" s="9"/>
    </row>
    <row r="923" spans="1:1" ht="14.25" customHeight="1">
      <c r="A923" s="9"/>
    </row>
    <row r="924" spans="1:1" ht="14.25" customHeight="1">
      <c r="A924" s="9"/>
    </row>
    <row r="925" spans="1:1" ht="14.25" customHeight="1">
      <c r="A925" s="9"/>
    </row>
    <row r="926" spans="1:1" ht="14.25" customHeight="1">
      <c r="A926" s="9"/>
    </row>
    <row r="927" spans="1:1" ht="14.25" customHeight="1">
      <c r="A927" s="9"/>
    </row>
    <row r="928" spans="1:1" ht="14.25" customHeight="1">
      <c r="A928" s="9"/>
    </row>
    <row r="929" spans="1:1" ht="14.25" customHeight="1">
      <c r="A929" s="9"/>
    </row>
    <row r="930" spans="1:1" ht="14.25" customHeight="1">
      <c r="A930" s="9"/>
    </row>
    <row r="931" spans="1:1" ht="14.25" customHeight="1">
      <c r="A931" s="9"/>
    </row>
    <row r="932" spans="1:1" ht="14.25" customHeight="1">
      <c r="A932" s="9"/>
    </row>
    <row r="933" spans="1:1" ht="14.25" customHeight="1">
      <c r="A933" s="9"/>
    </row>
    <row r="934" spans="1:1" ht="14.25" customHeight="1">
      <c r="A934" s="9"/>
    </row>
    <row r="935" spans="1:1" ht="14.25" customHeight="1">
      <c r="A935" s="9"/>
    </row>
    <row r="936" spans="1:1" ht="14.25" customHeight="1">
      <c r="A936" s="9"/>
    </row>
    <row r="937" spans="1:1" ht="14.25" customHeight="1">
      <c r="A937" s="9"/>
    </row>
    <row r="938" spans="1:1" ht="14.25" customHeight="1">
      <c r="A938" s="9"/>
    </row>
    <row r="939" spans="1:1" ht="14.25" customHeight="1">
      <c r="A939" s="9"/>
    </row>
    <row r="940" spans="1:1" ht="14.25" customHeight="1">
      <c r="A940" s="9"/>
    </row>
    <row r="941" spans="1:1" ht="14.25" customHeight="1">
      <c r="A941" s="9"/>
    </row>
    <row r="942" spans="1:1" ht="14.25" customHeight="1">
      <c r="A942" s="9"/>
    </row>
    <row r="943" spans="1:1" ht="14.25" customHeight="1">
      <c r="A943" s="9"/>
    </row>
    <row r="944" spans="1:1" ht="14.25" customHeight="1">
      <c r="A944" s="9"/>
    </row>
    <row r="945" spans="1:1" ht="14.25" customHeight="1">
      <c r="A945" s="9"/>
    </row>
    <row r="946" spans="1:1" ht="14.25" customHeight="1">
      <c r="A946" s="9"/>
    </row>
    <row r="947" spans="1:1" ht="14.25" customHeight="1">
      <c r="A947" s="9"/>
    </row>
    <row r="948" spans="1:1" ht="14.25" customHeight="1">
      <c r="A948" s="9"/>
    </row>
    <row r="949" spans="1:1" ht="14.25" customHeight="1">
      <c r="A949" s="9"/>
    </row>
    <row r="950" spans="1:1" ht="14.25" customHeight="1">
      <c r="A950" s="9"/>
    </row>
    <row r="951" spans="1:1" ht="14.25" customHeight="1">
      <c r="A951" s="9"/>
    </row>
    <row r="952" spans="1:1" ht="14.25" customHeight="1">
      <c r="A952" s="9"/>
    </row>
    <row r="953" spans="1:1" ht="14.25" customHeight="1">
      <c r="A953" s="9"/>
    </row>
    <row r="954" spans="1:1" ht="14.25" customHeight="1">
      <c r="A954" s="9"/>
    </row>
    <row r="955" spans="1:1" ht="14.25" customHeight="1">
      <c r="A955" s="9"/>
    </row>
    <row r="956" spans="1:1" ht="14.25" customHeight="1">
      <c r="A956" s="9"/>
    </row>
    <row r="957" spans="1:1" ht="14.25" customHeight="1">
      <c r="A957" s="9"/>
    </row>
    <row r="958" spans="1:1" ht="14.25" customHeight="1">
      <c r="A958" s="9"/>
    </row>
    <row r="959" spans="1:1" ht="14.25" customHeight="1">
      <c r="A959" s="9"/>
    </row>
    <row r="960" spans="1:1" ht="14.25" customHeight="1">
      <c r="A960" s="9"/>
    </row>
    <row r="961" spans="1:1" ht="14.25" customHeight="1">
      <c r="A961" s="9"/>
    </row>
    <row r="962" spans="1:1" ht="14.25" customHeight="1">
      <c r="A962" s="9"/>
    </row>
    <row r="963" spans="1:1" ht="14.25" customHeight="1">
      <c r="A963" s="9"/>
    </row>
    <row r="964" spans="1:1" ht="14.25" customHeight="1">
      <c r="A964" s="9"/>
    </row>
    <row r="965" spans="1:1" ht="14.25" customHeight="1">
      <c r="A965" s="9"/>
    </row>
    <row r="966" spans="1:1" ht="14.25" customHeight="1">
      <c r="A966" s="9"/>
    </row>
    <row r="967" spans="1:1" ht="14.25" customHeight="1">
      <c r="A967" s="9"/>
    </row>
    <row r="968" spans="1:1" ht="14.25" customHeight="1">
      <c r="A968" s="9"/>
    </row>
    <row r="969" spans="1:1" ht="14.25" customHeight="1">
      <c r="A969" s="9"/>
    </row>
    <row r="970" spans="1:1" ht="14.25" customHeight="1">
      <c r="A970" s="9"/>
    </row>
    <row r="971" spans="1:1" ht="14.25" customHeight="1">
      <c r="A971" s="9"/>
    </row>
    <row r="972" spans="1:1" ht="14.25" customHeight="1">
      <c r="A972" s="9"/>
    </row>
    <row r="973" spans="1:1" ht="14.25" customHeight="1">
      <c r="A973" s="9"/>
    </row>
    <row r="974" spans="1:1" ht="14.25" customHeight="1">
      <c r="A974" s="9"/>
    </row>
    <row r="975" spans="1:1" ht="14.25" customHeight="1">
      <c r="A975" s="9"/>
    </row>
    <row r="976" spans="1:1" ht="14.25" customHeight="1">
      <c r="A976" s="9"/>
    </row>
    <row r="977" spans="1:1" ht="14.25" customHeight="1">
      <c r="A977" s="9"/>
    </row>
    <row r="978" spans="1:1" ht="14.25" customHeight="1">
      <c r="A978" s="9"/>
    </row>
    <row r="979" spans="1:1" ht="14.25" customHeight="1">
      <c r="A979" s="9"/>
    </row>
    <row r="980" spans="1:1" ht="14.25" customHeight="1">
      <c r="A980" s="9"/>
    </row>
    <row r="981" spans="1:1" ht="14.25" customHeight="1">
      <c r="A981" s="9"/>
    </row>
    <row r="982" spans="1:1" ht="14.25" customHeight="1">
      <c r="A982" s="9"/>
    </row>
    <row r="983" spans="1:1" ht="14.25" customHeight="1">
      <c r="A983" s="9"/>
    </row>
    <row r="984" spans="1:1" ht="14.25" customHeight="1">
      <c r="A984" s="9"/>
    </row>
    <row r="985" spans="1:1" ht="14.25" customHeight="1">
      <c r="A985" s="9"/>
    </row>
    <row r="986" spans="1:1" ht="14.25" customHeight="1">
      <c r="A986" s="9"/>
    </row>
    <row r="987" spans="1:1" ht="14.25" customHeight="1">
      <c r="A987" s="9"/>
    </row>
    <row r="988" spans="1:1" ht="14.25" customHeight="1">
      <c r="A988" s="9"/>
    </row>
    <row r="989" spans="1:1" ht="14.25" customHeight="1">
      <c r="A989" s="9"/>
    </row>
    <row r="990" spans="1:1" ht="14.25" customHeight="1">
      <c r="A990" s="9"/>
    </row>
    <row r="991" spans="1:1" ht="14.25" customHeight="1">
      <c r="A991" s="9"/>
    </row>
    <row r="992" spans="1:1" ht="14.25" customHeight="1">
      <c r="A992" s="9"/>
    </row>
    <row r="993" spans="1:1" ht="14.25" customHeight="1">
      <c r="A993" s="9"/>
    </row>
    <row r="994" spans="1:1" ht="14.25" customHeight="1">
      <c r="A994" s="9"/>
    </row>
    <row r="995" spans="1:1" ht="14.25" customHeight="1">
      <c r="A995" s="9"/>
    </row>
    <row r="996" spans="1:1" ht="14.25" customHeight="1">
      <c r="A996" s="9"/>
    </row>
    <row r="997" spans="1:1" ht="14.25" customHeight="1">
      <c r="A997" s="9"/>
    </row>
    <row r="998" spans="1:1" ht="14.25" customHeight="1">
      <c r="A998" s="9"/>
    </row>
    <row r="999" spans="1:1" ht="14.25" customHeight="1">
      <c r="A999" s="9"/>
    </row>
    <row r="1000" spans="1:1" ht="14.25" customHeight="1">
      <c r="A1000" s="9"/>
    </row>
  </sheetData>
  <mergeCells count="18">
    <mergeCell ref="B21:D21"/>
    <mergeCell ref="B8:Q8"/>
    <mergeCell ref="B9:Q9"/>
    <mergeCell ref="B10:Q10"/>
    <mergeCell ref="B11:Q11"/>
    <mergeCell ref="B12:Q12"/>
    <mergeCell ref="B13:Q13"/>
    <mergeCell ref="B14:Q14"/>
    <mergeCell ref="B6:Q6"/>
    <mergeCell ref="B7:Q7"/>
    <mergeCell ref="B16:Q16"/>
    <mergeCell ref="B19:D19"/>
    <mergeCell ref="B20:D20"/>
    <mergeCell ref="A1:Q1"/>
    <mergeCell ref="B2:Q2"/>
    <mergeCell ref="B3:Q3"/>
    <mergeCell ref="B4:Q4"/>
    <mergeCell ref="B5:Q5"/>
  </mergeCells>
  <hyperlinks>
    <hyperlink ref="B20" r:id="rId1"/>
  </hyperlinks>
  <pageMargins left="0.7" right="0.7" top="0.75" bottom="0.75" header="0" footer="0"/>
  <pageSetup paperSize="9" orientation="portrait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10"/>
  <dimension ref="A1:C1000"/>
  <sheetViews>
    <sheetView workbookViewId="0">
      <selection activeCell="A2" sqref="A2"/>
    </sheetView>
  </sheetViews>
  <sheetFormatPr defaultColWidth="14.42578125" defaultRowHeight="15" customHeight="1"/>
  <cols>
    <col min="1" max="1" width="21.28515625" customWidth="1"/>
    <col min="2" max="2" width="28.140625" customWidth="1"/>
    <col min="3" max="3" width="17.140625" customWidth="1"/>
    <col min="4" max="26" width="8.7109375" customWidth="1"/>
  </cols>
  <sheetData>
    <row r="1" spans="1:3" ht="14.25" customHeight="1">
      <c r="A1" s="178" t="s">
        <v>279</v>
      </c>
      <c r="B1" s="105"/>
      <c r="C1" s="99"/>
    </row>
    <row r="2" spans="1:3" ht="19.5" customHeight="1">
      <c r="A2" s="94" t="s">
        <v>280</v>
      </c>
      <c r="B2" s="94" t="s">
        <v>281</v>
      </c>
      <c r="C2" s="94" t="s">
        <v>282</v>
      </c>
    </row>
    <row r="3" spans="1:3" ht="19.5" customHeight="1">
      <c r="A3" s="94" t="s">
        <v>283</v>
      </c>
      <c r="B3" s="94" t="s">
        <v>284</v>
      </c>
      <c r="C3" s="94" t="s">
        <v>285</v>
      </c>
    </row>
    <row r="4" spans="1:3" ht="19.5" customHeight="1">
      <c r="A4" s="94" t="s">
        <v>286</v>
      </c>
      <c r="B4" s="94" t="s">
        <v>287</v>
      </c>
      <c r="C4" s="94" t="s">
        <v>288</v>
      </c>
    </row>
    <row r="5" spans="1:3" ht="14.25" customHeight="1"/>
    <row r="6" spans="1:3" ht="14.25" customHeight="1"/>
    <row r="7" spans="1:3" ht="14.25" customHeight="1"/>
    <row r="8" spans="1:3" ht="14.25" customHeight="1"/>
    <row r="9" spans="1:3" ht="14.25" customHeight="1"/>
    <row r="10" spans="1:3" ht="14.25" customHeight="1"/>
    <row r="11" spans="1:3" ht="14.25" customHeight="1"/>
    <row r="12" spans="1:3" ht="14.25" customHeight="1"/>
    <row r="13" spans="1:3" ht="14.25" customHeight="1"/>
    <row r="14" spans="1:3" ht="14.25" customHeight="1"/>
    <row r="15" spans="1:3" ht="14.25" customHeight="1"/>
    <row r="16" spans="1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A1:C1"/>
  </mergeCells>
  <hyperlinks>
    <hyperlink ref="A2" location="IDENTITAS!C2" display="IDENTITAS"/>
    <hyperlink ref="B2" location="COVER!G35" display="COVER"/>
    <hyperlink ref="C2" location="BIODATA!K9" display="BIODATA"/>
    <hyperlink ref="A3" location="NILAI!D5" display="NILAI"/>
    <hyperlink ref="B3" location="'PRIBADI, ABSEN, CATATAN'!D4" display="PRIBADI, ABSEN, CATATAN"/>
    <hyperlink ref="C3" location="'RAPORT GANJIL'!J7" display="RAPORT GANJIL"/>
    <hyperlink ref="A4" location="'RAPORT GENAP'!J7" display="RAPORT GENAP"/>
    <hyperlink ref="B4" location="MUTASI!G7" display="MUTASI"/>
    <hyperlink ref="C4" location="PETUNJUK!A1" display="'PETUNJUK'!A1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IDENTITAS</vt:lpstr>
      <vt:lpstr>COVER</vt:lpstr>
      <vt:lpstr>BIODATA</vt:lpstr>
      <vt:lpstr>NILAI</vt:lpstr>
      <vt:lpstr>PRIBADI, ABSEN, CATATAN</vt:lpstr>
      <vt:lpstr>RAPORT GANJIL</vt:lpstr>
      <vt:lpstr>RAPORT GENAP</vt:lpstr>
      <vt:lpstr>MUTASI</vt:lpstr>
      <vt:lpstr>PETUNJUK</vt:lpstr>
      <vt:lpstr>DAFTAR SHEET</vt:lpstr>
      <vt:lpstr>Data</vt:lpstr>
      <vt:lpstr>Index_Sheet_Kutools</vt:lpstr>
      <vt:lpstr>Kepribadian</vt:lpstr>
      <vt:lpstr>Nilai</vt:lpstr>
      <vt:lpstr>BIODATA!Print_Area</vt:lpstr>
      <vt:lpstr>COVER!Print_Area</vt:lpstr>
      <vt:lpstr>'RAPORT GANJIL'!Print_Area</vt:lpstr>
      <vt:lpstr>'RAPORT GENAP'!Print_Area</vt:lpstr>
      <vt:lpstr>Puluhan</vt:lpstr>
      <vt:lpstr>Satuan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SDN Bandung 3</dc:creator>
  <cp:lastModifiedBy>danskita</cp:lastModifiedBy>
  <cp:lastPrinted>2026-05-06T04:47:06Z</cp:lastPrinted>
  <dcterms:created xsi:type="dcterms:W3CDTF">2025-08-31T13:59:22Z</dcterms:created>
  <dcterms:modified xsi:type="dcterms:W3CDTF">2026-05-15T01:34:29Z</dcterms:modified>
</cp:coreProperties>
</file>